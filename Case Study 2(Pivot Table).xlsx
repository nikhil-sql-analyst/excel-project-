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 excel\"/>
    </mc:Choice>
  </mc:AlternateContent>
  <xr:revisionPtr revIDLastSave="0" documentId="8_{F9D1C1A7-3ED0-49ED-98AA-BC2E6C4029B0}" xr6:coauthVersionLast="47" xr6:coauthVersionMax="47" xr10:uidLastSave="{00000000-0000-0000-0000-000000000000}"/>
  <bookViews>
    <workbookView xWindow="-108" yWindow="-108" windowWidth="23256" windowHeight="12456" firstSheet="6" activeTab="16" xr2:uid="{3C2F27DB-59A7-4E77-BCCC-EA28361B83B3}"/>
  </bookViews>
  <sheets>
    <sheet name="Data" sheetId="1" r:id="rId1"/>
    <sheet name="Case Study " sheetId="2" r:id="rId2"/>
    <sheet name="Sheet1" sheetId="3" r:id="rId3"/>
    <sheet name="Sheet2" sheetId="4" r:id="rId4"/>
    <sheet name="Sheet3" sheetId="5" r:id="rId5"/>
    <sheet name="Sheet4" sheetId="6" r:id="rId6"/>
    <sheet name="Sheet5" sheetId="7" r:id="rId7"/>
    <sheet name="Sheet6" sheetId="8" r:id="rId8"/>
    <sheet name="Sheet7" sheetId="9" r:id="rId9"/>
    <sheet name="Sheet8" sheetId="10" r:id="rId10"/>
    <sheet name="Sheet9" sheetId="11" r:id="rId11"/>
    <sheet name="Sheet10" sheetId="12" r:id="rId12"/>
    <sheet name="Sheet11" sheetId="13" r:id="rId13"/>
    <sheet name="Sheet12" sheetId="14" r:id="rId14"/>
    <sheet name="Sheet13" sheetId="15" r:id="rId15"/>
    <sheet name="Sheet14" sheetId="16" r:id="rId16"/>
    <sheet name="Sheet15" sheetId="17" r:id="rId17"/>
  </sheets>
  <calcPr calcId="191029"/>
  <pivotCaches>
    <pivotCache cacheId="0" r:id="rId18"/>
    <pivotCache cacheId="3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</calcChain>
</file>

<file path=xl/sharedStrings.xml><?xml version="1.0" encoding="utf-8"?>
<sst xmlns="http://schemas.openxmlformats.org/spreadsheetml/2006/main" count="718" uniqueCount="66">
  <si>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</si>
  <si>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</si>
  <si>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</si>
  <si>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</si>
  <si>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</si>
  <si>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</si>
  <si>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</si>
  <si>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</si>
  <si>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</si>
  <si>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</si>
  <si>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</si>
  <si>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</si>
  <si>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</si>
  <si>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</si>
  <si>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</si>
  <si>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</si>
  <si>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</si>
  <si>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</si>
  <si>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</si>
  <si>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</si>
  <si>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</si>
  <si>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</si>
  <si>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</si>
  <si>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</si>
  <si>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</si>
  <si>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</si>
  <si>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</si>
  <si>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</si>
  <si>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</si>
  <si>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</si>
  <si>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</si>
  <si>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</si>
  <si>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</si>
  <si>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</si>
  <si>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</si>
  <si>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</si>
  <si>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</si>
  <si>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</si>
  <si>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</si>
  <si>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</si>
  <si>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</si>
  <si>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</si>
  <si>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</si>
  <si>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</si>
  <si>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</si>
  <si>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</si>
  <si>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</si>
  <si>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</si>
  <si>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</si>
  <si>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</si>
  <si>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</si>
  <si>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</si>
  <si>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</si>
  <si>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</si>
  <si>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</si>
  <si>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</si>
  <si>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</si>
  <si>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Total sales</t>
  </si>
  <si>
    <t>Sum of Total sales</t>
  </si>
  <si>
    <t>Sum of Product Code</t>
  </si>
  <si>
    <t>Column Labels</t>
  </si>
  <si>
    <t>Sum of Quantity</t>
  </si>
  <si>
    <t>Sum of Sales Document</t>
  </si>
  <si>
    <t>Average of Quantity</t>
  </si>
  <si>
    <t>Average of Total sales</t>
  </si>
  <si>
    <t>Average of Sales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</si>
</sst>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0" fontId="0" fillId="0" borderId="0" xfId="0" applyNumberFormat="1"/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 indent="1"/>
    </xf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2">
    <cellStyle name="Heading 1 2" xfId="1" xr:uid="{B1476517-8384-4BE4-9D5E-6902BBA44473}"/>
    <cellStyle name="Normal" xfId="0" builtinId="0"/>
  </cellStyles>
  <dxfs count="17">
    <dxf>
      <numFmt numFmtId="0" formatCode="General"/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TT" refreshedDate="46035.709412962962" createdVersion="8" refreshedVersion="8" minRefreshableVersion="3" recordCount="105" xr:uid="{11A8A700-86F8-4697-A6D8-EBEDB4A056D9}">
  <cacheSource type="worksheet">
    <worksheetSource name="TSales2"/>
  </cacheSource>
  <cacheFields count="12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 count="19">
        <n v="120"/>
        <n v="150"/>
        <n v="170"/>
        <n v="140"/>
        <n v="100"/>
        <n v="180"/>
        <n v="190"/>
        <n v="160"/>
        <n v="110"/>
        <n v="200"/>
        <n v="130"/>
        <n v="30"/>
        <n v="60"/>
        <n v="80"/>
        <n v="20"/>
        <n v="50"/>
        <n v="40"/>
        <n v="70"/>
        <n v="10"/>
      </sharedItems>
    </cacheField>
    <cacheField name="Sales USD" numFmtId="0">
      <sharedItems containsSemiMixedTypes="0" containsString="0" containsNumber="1" containsInteger="1" minValue="100" maxValue="4930"/>
    </cacheField>
    <cacheField name="Total sales" numFmtId="0">
      <sharedItems containsSemiMixedTypes="0" containsString="0" containsNumber="1" containsInteger="1" minValue="1200" maxValue="480000" count="45">
        <n v="172800"/>
        <n v="270000"/>
        <n v="346800"/>
        <n v="235200"/>
        <n v="100000"/>
        <n v="388800"/>
        <n v="144000"/>
        <n v="361000"/>
        <n v="128000"/>
        <n v="307200"/>
        <n v="145200"/>
        <n v="256000"/>
        <n v="72000"/>
        <n v="480000"/>
        <n v="202800"/>
        <n v="169000"/>
        <n v="196000"/>
        <n v="144500"/>
        <n v="433200"/>
        <n v="180500"/>
        <n v="10800"/>
        <n v="18000"/>
        <n v="179200"/>
        <n v="120000"/>
        <n v="11200"/>
        <n v="250000"/>
        <n v="62500"/>
        <n v="19200"/>
        <n v="58800"/>
        <n v="24500"/>
        <n v="2800"/>
        <n v="115200"/>
        <n v="88200"/>
        <n v="21600"/>
        <n v="2000"/>
        <n v="1200"/>
        <n v="118200"/>
        <n v="161000"/>
        <n v="82000"/>
        <n v="253800"/>
        <n v="176000"/>
        <n v="150400"/>
        <n v="345100"/>
        <n v="84600"/>
        <n v="2104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x v="0"/>
    <x v="0"/>
    <n v="8010"/>
    <x v="0"/>
    <n v="103"/>
    <x v="0"/>
    <x v="0"/>
    <n v="1440"/>
    <x v="0"/>
  </r>
  <r>
    <x v="0"/>
    <x v="0"/>
    <x v="0"/>
    <x v="0"/>
    <x v="1"/>
    <n v="8010"/>
    <x v="0"/>
    <n v="104"/>
    <x v="1"/>
    <x v="1"/>
    <n v="1800"/>
    <x v="1"/>
  </r>
  <r>
    <x v="0"/>
    <x v="0"/>
    <x v="0"/>
    <x v="1"/>
    <x v="0"/>
    <n v="8010"/>
    <x v="0"/>
    <n v="103"/>
    <x v="0"/>
    <x v="2"/>
    <n v="2040"/>
    <x v="2"/>
  </r>
  <r>
    <x v="0"/>
    <x v="0"/>
    <x v="0"/>
    <x v="1"/>
    <x v="1"/>
    <n v="8010"/>
    <x v="0"/>
    <n v="104"/>
    <x v="1"/>
    <x v="3"/>
    <n v="1680"/>
    <x v="3"/>
  </r>
  <r>
    <x v="0"/>
    <x v="0"/>
    <x v="0"/>
    <x v="2"/>
    <x v="0"/>
    <n v="8020"/>
    <x v="1"/>
    <n v="103"/>
    <x v="0"/>
    <x v="3"/>
    <n v="1680"/>
    <x v="3"/>
  </r>
  <r>
    <x v="0"/>
    <x v="0"/>
    <x v="0"/>
    <x v="2"/>
    <x v="1"/>
    <n v="8020"/>
    <x v="1"/>
    <n v="104"/>
    <x v="1"/>
    <x v="1"/>
    <n v="1800"/>
    <x v="1"/>
  </r>
  <r>
    <x v="0"/>
    <x v="0"/>
    <x v="0"/>
    <x v="2"/>
    <x v="2"/>
    <n v="8020"/>
    <x v="1"/>
    <n v="105"/>
    <x v="2"/>
    <x v="4"/>
    <n v="1000"/>
    <x v="4"/>
  </r>
  <r>
    <x v="0"/>
    <x v="0"/>
    <x v="0"/>
    <x v="3"/>
    <x v="3"/>
    <n v="8010"/>
    <x v="0"/>
    <n v="104"/>
    <x v="1"/>
    <x v="5"/>
    <n v="2160"/>
    <x v="5"/>
  </r>
  <r>
    <x v="0"/>
    <x v="0"/>
    <x v="0"/>
    <x v="3"/>
    <x v="4"/>
    <n v="8010"/>
    <x v="0"/>
    <n v="105"/>
    <x v="2"/>
    <x v="0"/>
    <n v="1200"/>
    <x v="6"/>
  </r>
  <r>
    <x v="0"/>
    <x v="0"/>
    <x v="0"/>
    <x v="4"/>
    <x v="5"/>
    <n v="8020"/>
    <x v="1"/>
    <n v="104"/>
    <x v="1"/>
    <x v="1"/>
    <n v="1800"/>
    <x v="1"/>
  </r>
  <r>
    <x v="0"/>
    <x v="0"/>
    <x v="0"/>
    <x v="4"/>
    <x v="6"/>
    <n v="8020"/>
    <x v="1"/>
    <n v="105"/>
    <x v="2"/>
    <x v="6"/>
    <n v="1900"/>
    <x v="7"/>
  </r>
  <r>
    <x v="0"/>
    <x v="0"/>
    <x v="0"/>
    <x v="4"/>
    <x v="7"/>
    <n v="8020"/>
    <x v="1"/>
    <n v="107"/>
    <x v="3"/>
    <x v="7"/>
    <n v="800"/>
    <x v="8"/>
  </r>
  <r>
    <x v="0"/>
    <x v="0"/>
    <x v="0"/>
    <x v="4"/>
    <x v="8"/>
    <n v="8010"/>
    <x v="0"/>
    <n v="104"/>
    <x v="1"/>
    <x v="7"/>
    <n v="1920"/>
    <x v="9"/>
  </r>
  <r>
    <x v="0"/>
    <x v="0"/>
    <x v="0"/>
    <x v="4"/>
    <x v="9"/>
    <n v="8010"/>
    <x v="0"/>
    <n v="105"/>
    <x v="2"/>
    <x v="6"/>
    <n v="1900"/>
    <x v="7"/>
  </r>
  <r>
    <x v="0"/>
    <x v="0"/>
    <x v="0"/>
    <x v="5"/>
    <x v="10"/>
    <n v="8020"/>
    <x v="1"/>
    <n v="103"/>
    <x v="0"/>
    <x v="0"/>
    <n v="1440"/>
    <x v="0"/>
  </r>
  <r>
    <x v="0"/>
    <x v="0"/>
    <x v="0"/>
    <x v="5"/>
    <x v="11"/>
    <n v="8020"/>
    <x v="1"/>
    <n v="104"/>
    <x v="1"/>
    <x v="8"/>
    <n v="1320"/>
    <x v="10"/>
  </r>
  <r>
    <x v="0"/>
    <x v="0"/>
    <x v="0"/>
    <x v="6"/>
    <x v="1"/>
    <n v="8010"/>
    <x v="0"/>
    <n v="103"/>
    <x v="0"/>
    <x v="0"/>
    <n v="1440"/>
    <x v="0"/>
  </r>
  <r>
    <x v="0"/>
    <x v="0"/>
    <x v="0"/>
    <x v="6"/>
    <x v="12"/>
    <n v="8010"/>
    <x v="0"/>
    <n v="104"/>
    <x v="1"/>
    <x v="3"/>
    <n v="1680"/>
    <x v="3"/>
  </r>
  <r>
    <x v="0"/>
    <x v="0"/>
    <x v="0"/>
    <x v="6"/>
    <x v="13"/>
    <n v="8010"/>
    <x v="0"/>
    <n v="105"/>
    <x v="2"/>
    <x v="7"/>
    <n v="1600"/>
    <x v="11"/>
  </r>
  <r>
    <x v="0"/>
    <x v="0"/>
    <x v="0"/>
    <x v="6"/>
    <x v="14"/>
    <n v="8020"/>
    <x v="1"/>
    <n v="107"/>
    <x v="3"/>
    <x v="0"/>
    <n v="600"/>
    <x v="12"/>
  </r>
  <r>
    <x v="0"/>
    <x v="0"/>
    <x v="0"/>
    <x v="6"/>
    <x v="15"/>
    <n v="8020"/>
    <x v="1"/>
    <n v="103"/>
    <x v="0"/>
    <x v="9"/>
    <n v="2400"/>
    <x v="13"/>
  </r>
  <r>
    <x v="0"/>
    <x v="0"/>
    <x v="0"/>
    <x v="7"/>
    <x v="5"/>
    <n v="8010"/>
    <x v="0"/>
    <n v="103"/>
    <x v="0"/>
    <x v="3"/>
    <n v="1680"/>
    <x v="3"/>
  </r>
  <r>
    <x v="0"/>
    <x v="0"/>
    <x v="0"/>
    <x v="7"/>
    <x v="6"/>
    <n v="8010"/>
    <x v="0"/>
    <n v="104"/>
    <x v="1"/>
    <x v="3"/>
    <n v="1680"/>
    <x v="3"/>
  </r>
  <r>
    <x v="0"/>
    <x v="0"/>
    <x v="0"/>
    <x v="8"/>
    <x v="7"/>
    <n v="8010"/>
    <x v="0"/>
    <n v="103"/>
    <x v="0"/>
    <x v="3"/>
    <n v="1680"/>
    <x v="3"/>
  </r>
  <r>
    <x v="0"/>
    <x v="0"/>
    <x v="0"/>
    <x v="8"/>
    <x v="8"/>
    <n v="8010"/>
    <x v="0"/>
    <n v="104"/>
    <x v="1"/>
    <x v="3"/>
    <n v="1680"/>
    <x v="3"/>
  </r>
  <r>
    <x v="0"/>
    <x v="0"/>
    <x v="0"/>
    <x v="9"/>
    <x v="9"/>
    <n v="8020"/>
    <x v="1"/>
    <n v="103"/>
    <x v="0"/>
    <x v="0"/>
    <n v="1440"/>
    <x v="0"/>
  </r>
  <r>
    <x v="0"/>
    <x v="0"/>
    <x v="0"/>
    <x v="9"/>
    <x v="10"/>
    <n v="8020"/>
    <x v="1"/>
    <n v="104"/>
    <x v="1"/>
    <x v="10"/>
    <n v="1560"/>
    <x v="14"/>
  </r>
  <r>
    <x v="0"/>
    <x v="0"/>
    <x v="0"/>
    <x v="9"/>
    <x v="11"/>
    <n v="8020"/>
    <x v="1"/>
    <n v="105"/>
    <x v="2"/>
    <x v="0"/>
    <n v="1200"/>
    <x v="6"/>
  </r>
  <r>
    <x v="0"/>
    <x v="0"/>
    <x v="0"/>
    <x v="10"/>
    <x v="16"/>
    <n v="8010"/>
    <x v="0"/>
    <n v="104"/>
    <x v="1"/>
    <x v="3"/>
    <n v="1680"/>
    <x v="3"/>
  </r>
  <r>
    <x v="0"/>
    <x v="0"/>
    <x v="0"/>
    <x v="10"/>
    <x v="17"/>
    <n v="8010"/>
    <x v="0"/>
    <n v="105"/>
    <x v="2"/>
    <x v="10"/>
    <n v="1300"/>
    <x v="15"/>
  </r>
  <r>
    <x v="0"/>
    <x v="0"/>
    <x v="0"/>
    <x v="11"/>
    <x v="18"/>
    <n v="8020"/>
    <x v="1"/>
    <n v="104"/>
    <x v="1"/>
    <x v="0"/>
    <n v="1440"/>
    <x v="0"/>
  </r>
  <r>
    <x v="0"/>
    <x v="0"/>
    <x v="0"/>
    <x v="11"/>
    <x v="19"/>
    <n v="8020"/>
    <x v="1"/>
    <n v="105"/>
    <x v="2"/>
    <x v="3"/>
    <n v="1400"/>
    <x v="16"/>
  </r>
  <r>
    <x v="0"/>
    <x v="0"/>
    <x v="0"/>
    <x v="11"/>
    <x v="20"/>
    <n v="8020"/>
    <x v="1"/>
    <n v="107"/>
    <x v="3"/>
    <x v="2"/>
    <n v="850"/>
    <x v="17"/>
  </r>
  <r>
    <x v="0"/>
    <x v="0"/>
    <x v="0"/>
    <x v="12"/>
    <x v="10"/>
    <n v="8010"/>
    <x v="0"/>
    <n v="104"/>
    <x v="1"/>
    <x v="6"/>
    <n v="2280"/>
    <x v="18"/>
  </r>
  <r>
    <x v="0"/>
    <x v="0"/>
    <x v="0"/>
    <x v="12"/>
    <x v="11"/>
    <n v="8010"/>
    <x v="0"/>
    <n v="105"/>
    <x v="2"/>
    <x v="3"/>
    <n v="1400"/>
    <x v="16"/>
  </r>
  <r>
    <x v="0"/>
    <x v="0"/>
    <x v="0"/>
    <x v="13"/>
    <x v="16"/>
    <n v="8020"/>
    <x v="1"/>
    <n v="103"/>
    <x v="0"/>
    <x v="3"/>
    <n v="1680"/>
    <x v="3"/>
  </r>
  <r>
    <x v="0"/>
    <x v="0"/>
    <x v="0"/>
    <x v="13"/>
    <x v="17"/>
    <n v="8020"/>
    <x v="1"/>
    <n v="104"/>
    <x v="1"/>
    <x v="7"/>
    <n v="1920"/>
    <x v="9"/>
  </r>
  <r>
    <x v="0"/>
    <x v="0"/>
    <x v="0"/>
    <x v="14"/>
    <x v="18"/>
    <n v="8010"/>
    <x v="0"/>
    <n v="103"/>
    <x v="0"/>
    <x v="6"/>
    <n v="2280"/>
    <x v="18"/>
  </r>
  <r>
    <x v="0"/>
    <x v="0"/>
    <x v="0"/>
    <x v="14"/>
    <x v="19"/>
    <n v="8010"/>
    <x v="0"/>
    <n v="104"/>
    <x v="1"/>
    <x v="10"/>
    <n v="1560"/>
    <x v="14"/>
  </r>
  <r>
    <x v="0"/>
    <x v="0"/>
    <x v="0"/>
    <x v="14"/>
    <x v="20"/>
    <n v="8010"/>
    <x v="0"/>
    <n v="105"/>
    <x v="2"/>
    <x v="3"/>
    <n v="1400"/>
    <x v="16"/>
  </r>
  <r>
    <x v="0"/>
    <x v="0"/>
    <x v="0"/>
    <x v="15"/>
    <x v="21"/>
    <n v="8020"/>
    <x v="1"/>
    <n v="107"/>
    <x v="3"/>
    <x v="6"/>
    <n v="950"/>
    <x v="19"/>
  </r>
  <r>
    <x v="0"/>
    <x v="0"/>
    <x v="0"/>
    <x v="15"/>
    <x v="22"/>
    <n v="8020"/>
    <x v="1"/>
    <n v="103"/>
    <x v="0"/>
    <x v="0"/>
    <n v="1440"/>
    <x v="0"/>
  </r>
  <r>
    <x v="1"/>
    <x v="1"/>
    <x v="0"/>
    <x v="16"/>
    <x v="0"/>
    <n v="8020"/>
    <x v="1"/>
    <n v="101"/>
    <x v="4"/>
    <x v="10"/>
    <n v="1560"/>
    <x v="14"/>
  </r>
  <r>
    <x v="1"/>
    <x v="1"/>
    <x v="0"/>
    <x v="16"/>
    <x v="1"/>
    <n v="8020"/>
    <x v="1"/>
    <n v="102"/>
    <x v="5"/>
    <x v="11"/>
    <n v="360"/>
    <x v="20"/>
  </r>
  <r>
    <x v="1"/>
    <x v="1"/>
    <x v="0"/>
    <x v="16"/>
    <x v="12"/>
    <n v="8020"/>
    <x v="1"/>
    <n v="106"/>
    <x v="6"/>
    <x v="12"/>
    <n v="300"/>
    <x v="21"/>
  </r>
  <r>
    <x v="1"/>
    <x v="1"/>
    <x v="0"/>
    <x v="16"/>
    <x v="13"/>
    <n v="8020"/>
    <x v="1"/>
    <n v="108"/>
    <x v="7"/>
    <x v="13"/>
    <n v="2240"/>
    <x v="22"/>
  </r>
  <r>
    <x v="1"/>
    <x v="1"/>
    <x v="0"/>
    <x v="17"/>
    <x v="14"/>
    <n v="8020"/>
    <x v="1"/>
    <n v="101"/>
    <x v="4"/>
    <x v="4"/>
    <n v="1200"/>
    <x v="23"/>
  </r>
  <r>
    <x v="1"/>
    <x v="1"/>
    <x v="0"/>
    <x v="17"/>
    <x v="15"/>
    <n v="8020"/>
    <x v="1"/>
    <n v="108"/>
    <x v="7"/>
    <x v="14"/>
    <n v="560"/>
    <x v="24"/>
  </r>
  <r>
    <x v="1"/>
    <x v="1"/>
    <x v="0"/>
    <x v="17"/>
    <x v="2"/>
    <n v="8020"/>
    <x v="1"/>
    <n v="113"/>
    <x v="8"/>
    <x v="4"/>
    <n v="2500"/>
    <x v="25"/>
  </r>
  <r>
    <x v="1"/>
    <x v="1"/>
    <x v="0"/>
    <x v="18"/>
    <x v="3"/>
    <n v="8020"/>
    <x v="1"/>
    <n v="114"/>
    <x v="9"/>
    <x v="15"/>
    <n v="1250"/>
    <x v="26"/>
  </r>
  <r>
    <x v="1"/>
    <x v="1"/>
    <x v="0"/>
    <x v="18"/>
    <x v="4"/>
    <n v="8020"/>
    <x v="1"/>
    <n v="101"/>
    <x v="4"/>
    <x v="16"/>
    <n v="480"/>
    <x v="27"/>
  </r>
  <r>
    <x v="1"/>
    <x v="1"/>
    <x v="0"/>
    <x v="18"/>
    <x v="5"/>
    <n v="8020"/>
    <x v="1"/>
    <n v="102"/>
    <x v="5"/>
    <x v="17"/>
    <n v="840"/>
    <x v="28"/>
  </r>
  <r>
    <x v="1"/>
    <x v="1"/>
    <x v="0"/>
    <x v="18"/>
    <x v="6"/>
    <n v="8020"/>
    <x v="1"/>
    <n v="106"/>
    <x v="6"/>
    <x v="17"/>
    <n v="350"/>
    <x v="29"/>
  </r>
  <r>
    <x v="1"/>
    <x v="1"/>
    <x v="0"/>
    <x v="18"/>
    <x v="7"/>
    <n v="8020"/>
    <x v="1"/>
    <n v="108"/>
    <x v="7"/>
    <x v="18"/>
    <n v="280"/>
    <x v="30"/>
  </r>
  <r>
    <x v="1"/>
    <x v="1"/>
    <x v="0"/>
    <x v="18"/>
    <x v="8"/>
    <n v="8020"/>
    <x v="1"/>
    <n v="117"/>
    <x v="10"/>
    <x v="13"/>
    <n v="1440"/>
    <x v="31"/>
  </r>
  <r>
    <x v="1"/>
    <x v="1"/>
    <x v="0"/>
    <x v="18"/>
    <x v="9"/>
    <n v="8020"/>
    <x v="1"/>
    <n v="118"/>
    <x v="11"/>
    <x v="17"/>
    <n v="1260"/>
    <x v="32"/>
  </r>
  <r>
    <x v="1"/>
    <x v="1"/>
    <x v="0"/>
    <x v="19"/>
    <x v="10"/>
    <n v="8010"/>
    <x v="0"/>
    <n v="118"/>
    <x v="11"/>
    <x v="17"/>
    <n v="1260"/>
    <x v="32"/>
  </r>
  <r>
    <x v="1"/>
    <x v="1"/>
    <x v="0"/>
    <x v="19"/>
    <x v="11"/>
    <n v="8010"/>
    <x v="0"/>
    <n v="117"/>
    <x v="10"/>
    <x v="13"/>
    <n v="1440"/>
    <x v="31"/>
  </r>
  <r>
    <x v="1"/>
    <x v="1"/>
    <x v="0"/>
    <x v="19"/>
    <x v="16"/>
    <n v="8010"/>
    <x v="0"/>
    <n v="118"/>
    <x v="11"/>
    <x v="17"/>
    <n v="1260"/>
    <x v="32"/>
  </r>
  <r>
    <x v="1"/>
    <x v="1"/>
    <x v="0"/>
    <x v="19"/>
    <x v="17"/>
    <n v="8010"/>
    <x v="0"/>
    <n v="116"/>
    <x v="12"/>
    <x v="12"/>
    <n v="360"/>
    <x v="33"/>
  </r>
  <r>
    <x v="1"/>
    <x v="1"/>
    <x v="0"/>
    <x v="19"/>
    <x v="18"/>
    <n v="8010"/>
    <x v="0"/>
    <n v="106"/>
    <x v="6"/>
    <x v="14"/>
    <n v="100"/>
    <x v="34"/>
  </r>
  <r>
    <x v="1"/>
    <x v="1"/>
    <x v="0"/>
    <x v="19"/>
    <x v="19"/>
    <n v="8010"/>
    <x v="0"/>
    <n v="101"/>
    <x v="4"/>
    <x v="16"/>
    <n v="480"/>
    <x v="27"/>
  </r>
  <r>
    <x v="1"/>
    <x v="1"/>
    <x v="0"/>
    <x v="19"/>
    <x v="20"/>
    <n v="8010"/>
    <x v="0"/>
    <n v="102"/>
    <x v="5"/>
    <x v="18"/>
    <n v="120"/>
    <x v="35"/>
  </r>
  <r>
    <x v="2"/>
    <x v="2"/>
    <x v="1"/>
    <x v="20"/>
    <x v="0"/>
    <n v="8060"/>
    <x v="2"/>
    <n v="108"/>
    <x v="7"/>
    <x v="12"/>
    <n v="1970"/>
    <x v="36"/>
  </r>
  <r>
    <x v="2"/>
    <x v="2"/>
    <x v="1"/>
    <x v="20"/>
    <x v="1"/>
    <n v="8060"/>
    <x v="2"/>
    <n v="109"/>
    <x v="13"/>
    <x v="12"/>
    <n v="1970"/>
    <x v="36"/>
  </r>
  <r>
    <x v="2"/>
    <x v="2"/>
    <x v="1"/>
    <x v="21"/>
    <x v="0"/>
    <n v="8060"/>
    <x v="2"/>
    <n v="108"/>
    <x v="7"/>
    <x v="12"/>
    <n v="1970"/>
    <x v="36"/>
  </r>
  <r>
    <x v="2"/>
    <x v="2"/>
    <x v="1"/>
    <x v="21"/>
    <x v="1"/>
    <n v="8060"/>
    <x v="2"/>
    <n v="109"/>
    <x v="13"/>
    <x v="17"/>
    <n v="2300"/>
    <x v="37"/>
  </r>
  <r>
    <x v="2"/>
    <x v="2"/>
    <x v="1"/>
    <x v="22"/>
    <x v="0"/>
    <n v="8050"/>
    <x v="3"/>
    <n v="108"/>
    <x v="7"/>
    <x v="12"/>
    <n v="1970"/>
    <x v="36"/>
  </r>
  <r>
    <x v="2"/>
    <x v="2"/>
    <x v="1"/>
    <x v="22"/>
    <x v="1"/>
    <n v="8050"/>
    <x v="3"/>
    <n v="109"/>
    <x v="13"/>
    <x v="15"/>
    <n v="1640"/>
    <x v="38"/>
  </r>
  <r>
    <x v="2"/>
    <x v="2"/>
    <x v="1"/>
    <x v="22"/>
    <x v="2"/>
    <n v="8050"/>
    <x v="3"/>
    <n v="110"/>
    <x v="14"/>
    <x v="12"/>
    <n v="4230"/>
    <x v="39"/>
  </r>
  <r>
    <x v="2"/>
    <x v="2"/>
    <x v="1"/>
    <x v="23"/>
    <x v="3"/>
    <n v="8060"/>
    <x v="2"/>
    <n v="109"/>
    <x v="13"/>
    <x v="12"/>
    <n v="1970"/>
    <x v="36"/>
  </r>
  <r>
    <x v="2"/>
    <x v="2"/>
    <x v="1"/>
    <x v="23"/>
    <x v="4"/>
    <n v="8060"/>
    <x v="2"/>
    <n v="110"/>
    <x v="14"/>
    <x v="15"/>
    <n v="3520"/>
    <x v="40"/>
  </r>
  <r>
    <x v="2"/>
    <x v="2"/>
    <x v="1"/>
    <x v="24"/>
    <x v="3"/>
    <n v="8050"/>
    <x v="3"/>
    <n v="109"/>
    <x v="13"/>
    <x v="12"/>
    <n v="1970"/>
    <x v="36"/>
  </r>
  <r>
    <x v="2"/>
    <x v="2"/>
    <x v="1"/>
    <x v="24"/>
    <x v="4"/>
    <n v="8050"/>
    <x v="3"/>
    <n v="110"/>
    <x v="14"/>
    <x v="12"/>
    <n v="4230"/>
    <x v="39"/>
  </r>
  <r>
    <x v="2"/>
    <x v="2"/>
    <x v="1"/>
    <x v="24"/>
    <x v="7"/>
    <n v="8050"/>
    <x v="3"/>
    <n v="111"/>
    <x v="15"/>
    <x v="13"/>
    <n v="1880"/>
    <x v="41"/>
  </r>
  <r>
    <x v="2"/>
    <x v="2"/>
    <x v="1"/>
    <x v="25"/>
    <x v="3"/>
    <n v="8060"/>
    <x v="2"/>
    <n v="109"/>
    <x v="13"/>
    <x v="12"/>
    <n v="1970"/>
    <x v="36"/>
  </r>
  <r>
    <x v="2"/>
    <x v="2"/>
    <x v="1"/>
    <x v="25"/>
    <x v="4"/>
    <n v="8060"/>
    <x v="2"/>
    <n v="110"/>
    <x v="14"/>
    <x v="12"/>
    <n v="4230"/>
    <x v="39"/>
  </r>
  <r>
    <x v="2"/>
    <x v="2"/>
    <x v="1"/>
    <x v="26"/>
    <x v="10"/>
    <n v="8050"/>
    <x v="3"/>
    <n v="108"/>
    <x v="7"/>
    <x v="15"/>
    <n v="1640"/>
    <x v="38"/>
  </r>
  <r>
    <x v="2"/>
    <x v="2"/>
    <x v="1"/>
    <x v="26"/>
    <x v="11"/>
    <n v="8050"/>
    <x v="3"/>
    <n v="109"/>
    <x v="13"/>
    <x v="12"/>
    <n v="1970"/>
    <x v="36"/>
  </r>
  <r>
    <x v="2"/>
    <x v="2"/>
    <x v="1"/>
    <x v="27"/>
    <x v="10"/>
    <n v="8060"/>
    <x v="2"/>
    <n v="108"/>
    <x v="7"/>
    <x v="12"/>
    <n v="1970"/>
    <x v="36"/>
  </r>
  <r>
    <x v="2"/>
    <x v="2"/>
    <x v="1"/>
    <x v="27"/>
    <x v="11"/>
    <n v="8060"/>
    <x v="2"/>
    <n v="109"/>
    <x v="13"/>
    <x v="17"/>
    <n v="2300"/>
    <x v="37"/>
  </r>
  <r>
    <x v="2"/>
    <x v="2"/>
    <x v="1"/>
    <x v="27"/>
    <x v="18"/>
    <n v="8060"/>
    <x v="2"/>
    <n v="110"/>
    <x v="14"/>
    <x v="12"/>
    <n v="4230"/>
    <x v="39"/>
  </r>
  <r>
    <x v="2"/>
    <x v="2"/>
    <x v="1"/>
    <x v="28"/>
    <x v="10"/>
    <n v="8050"/>
    <x v="3"/>
    <n v="111"/>
    <x v="15"/>
    <x v="13"/>
    <n v="1880"/>
    <x v="41"/>
  </r>
  <r>
    <x v="2"/>
    <x v="2"/>
    <x v="1"/>
    <x v="28"/>
    <x v="11"/>
    <n v="8050"/>
    <x v="3"/>
    <n v="108"/>
    <x v="7"/>
    <x v="15"/>
    <n v="1640"/>
    <x v="38"/>
  </r>
  <r>
    <x v="2"/>
    <x v="2"/>
    <x v="1"/>
    <x v="29"/>
    <x v="17"/>
    <n v="8060"/>
    <x v="2"/>
    <n v="108"/>
    <x v="7"/>
    <x v="12"/>
    <n v="1970"/>
    <x v="36"/>
  </r>
  <r>
    <x v="2"/>
    <x v="2"/>
    <x v="1"/>
    <x v="29"/>
    <x v="22"/>
    <n v="8060"/>
    <x v="2"/>
    <n v="109"/>
    <x v="13"/>
    <x v="17"/>
    <n v="2300"/>
    <x v="37"/>
  </r>
  <r>
    <x v="2"/>
    <x v="2"/>
    <x v="1"/>
    <x v="30"/>
    <x v="11"/>
    <n v="8060"/>
    <x v="2"/>
    <n v="108"/>
    <x v="7"/>
    <x v="17"/>
    <n v="2300"/>
    <x v="37"/>
  </r>
  <r>
    <x v="2"/>
    <x v="2"/>
    <x v="1"/>
    <x v="30"/>
    <x v="23"/>
    <n v="8060"/>
    <x v="2"/>
    <n v="109"/>
    <x v="13"/>
    <x v="17"/>
    <n v="2300"/>
    <x v="37"/>
  </r>
  <r>
    <x v="2"/>
    <x v="2"/>
    <x v="1"/>
    <x v="31"/>
    <x v="11"/>
    <n v="8050"/>
    <x v="3"/>
    <n v="108"/>
    <x v="7"/>
    <x v="17"/>
    <n v="2300"/>
    <x v="37"/>
  </r>
  <r>
    <x v="2"/>
    <x v="2"/>
    <x v="1"/>
    <x v="31"/>
    <x v="17"/>
    <n v="8050"/>
    <x v="3"/>
    <n v="109"/>
    <x v="13"/>
    <x v="12"/>
    <n v="1970"/>
    <x v="36"/>
  </r>
  <r>
    <x v="2"/>
    <x v="2"/>
    <x v="1"/>
    <x v="31"/>
    <x v="22"/>
    <n v="8050"/>
    <x v="3"/>
    <n v="110"/>
    <x v="14"/>
    <x v="15"/>
    <n v="3520"/>
    <x v="40"/>
  </r>
  <r>
    <x v="2"/>
    <x v="2"/>
    <x v="1"/>
    <x v="32"/>
    <x v="24"/>
    <n v="8060"/>
    <x v="2"/>
    <n v="109"/>
    <x v="13"/>
    <x v="12"/>
    <n v="1970"/>
    <x v="36"/>
  </r>
  <r>
    <x v="2"/>
    <x v="2"/>
    <x v="1"/>
    <x v="32"/>
    <x v="25"/>
    <n v="8060"/>
    <x v="2"/>
    <n v="110"/>
    <x v="14"/>
    <x v="17"/>
    <n v="4930"/>
    <x v="42"/>
  </r>
  <r>
    <x v="2"/>
    <x v="2"/>
    <x v="1"/>
    <x v="33"/>
    <x v="10"/>
    <n v="8050"/>
    <x v="3"/>
    <n v="109"/>
    <x v="13"/>
    <x v="12"/>
    <n v="1970"/>
    <x v="36"/>
  </r>
  <r>
    <x v="2"/>
    <x v="2"/>
    <x v="1"/>
    <x v="33"/>
    <x v="11"/>
    <n v="8050"/>
    <x v="3"/>
    <n v="110"/>
    <x v="14"/>
    <x v="12"/>
    <n v="4230"/>
    <x v="39"/>
  </r>
  <r>
    <x v="2"/>
    <x v="2"/>
    <x v="1"/>
    <x v="33"/>
    <x v="16"/>
    <n v="8050"/>
    <x v="3"/>
    <n v="111"/>
    <x v="15"/>
    <x v="12"/>
    <n v="1410"/>
    <x v="43"/>
  </r>
  <r>
    <x v="2"/>
    <x v="2"/>
    <x v="1"/>
    <x v="34"/>
    <x v="17"/>
    <n v="8060"/>
    <x v="2"/>
    <n v="109"/>
    <x v="13"/>
    <x v="12"/>
    <n v="1970"/>
    <x v="36"/>
  </r>
  <r>
    <x v="2"/>
    <x v="2"/>
    <x v="1"/>
    <x v="34"/>
    <x v="18"/>
    <n v="8060"/>
    <x v="2"/>
    <n v="110"/>
    <x v="14"/>
    <x v="15"/>
    <n v="3520"/>
    <x v="40"/>
  </r>
  <r>
    <x v="2"/>
    <x v="2"/>
    <x v="1"/>
    <x v="35"/>
    <x v="19"/>
    <n v="8050"/>
    <x v="3"/>
    <n v="108"/>
    <x v="7"/>
    <x v="17"/>
    <n v="2300"/>
    <x v="37"/>
  </r>
  <r>
    <x v="2"/>
    <x v="2"/>
    <x v="1"/>
    <x v="35"/>
    <x v="20"/>
    <n v="8050"/>
    <x v="3"/>
    <n v="109"/>
    <x v="13"/>
    <x v="12"/>
    <n v="1970"/>
    <x v="36"/>
  </r>
  <r>
    <x v="2"/>
    <x v="2"/>
    <x v="1"/>
    <x v="36"/>
    <x v="21"/>
    <n v="8060"/>
    <x v="2"/>
    <n v="108"/>
    <x v="7"/>
    <x v="13"/>
    <n v="2630"/>
    <x v="44"/>
  </r>
  <r>
    <x v="2"/>
    <x v="2"/>
    <x v="1"/>
    <x v="36"/>
    <x v="22"/>
    <n v="8060"/>
    <x v="2"/>
    <n v="109"/>
    <x v="13"/>
    <x v="13"/>
    <n v="2630"/>
    <x v="44"/>
  </r>
  <r>
    <x v="2"/>
    <x v="2"/>
    <x v="1"/>
    <x v="36"/>
    <x v="26"/>
    <n v="8060"/>
    <x v="2"/>
    <n v="110"/>
    <x v="14"/>
    <x v="15"/>
    <n v="3520"/>
    <x v="40"/>
  </r>
  <r>
    <x v="2"/>
    <x v="2"/>
    <x v="1"/>
    <x v="37"/>
    <x v="23"/>
    <n v="8050"/>
    <x v="3"/>
    <n v="111"/>
    <x v="15"/>
    <x v="12"/>
    <n v="1410"/>
    <x v="43"/>
  </r>
  <r>
    <x v="2"/>
    <x v="2"/>
    <x v="1"/>
    <x v="37"/>
    <x v="27"/>
    <n v="8050"/>
    <x v="3"/>
    <n v="108"/>
    <x v="7"/>
    <x v="12"/>
    <n v="1970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FEBE4-A7BE-4B3B-8E07-E83C6EE607DE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12">
    <pivotField showAll="0"/>
    <pivotField axis="axisRow" showAll="0">
      <items count="4">
        <item h="1" x="2"/>
        <item h="1"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2"/>
  </rowFields>
  <rowItems count="3">
    <i>
      <x v="2"/>
    </i>
    <i r="1">
      <x/>
    </i>
    <i t="grand">
      <x/>
    </i>
  </rowItems>
  <colItems count="1">
    <i/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BE2D0-7986-497A-9637-5C7C50200E61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12">
    <pivotField showAll="0"/>
    <pivotField axis="axisRow" showAll="0">
      <items count="4">
        <item h="1" x="2"/>
        <item h="1"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"/>
    <field x="2"/>
  </rowFields>
  <rowItems count="3">
    <i>
      <x v="2"/>
    </i>
    <i r="1">
      <x/>
    </i>
    <i t="grand">
      <x/>
    </i>
  </rowItems>
  <colItems count="1">
    <i/>
  </colItems>
  <dataFields count="1">
    <dataField name="Sum of Product Cod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9B0E6-2D00-40B5-83B9-D9556836920B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6" firstHeaderRow="1" firstDataRow="2" firstDataCol="1"/>
  <pivotFields count="12">
    <pivotField showAll="0"/>
    <pivotField showAll="0"/>
    <pivotField showAll="0"/>
    <pivotField showAll="0"/>
    <pivotField numFmtId="164" showAll="0"/>
    <pivotField showAll="0"/>
    <pivotField axis="axisCol" showAll="0">
      <items count="5">
        <item h="1" x="3"/>
        <item x="0"/>
        <item h="1" x="1"/>
        <item h="1" x="2"/>
        <item t="default"/>
      </items>
    </pivotField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  <pivotField showAll="0"/>
  </pivotFields>
  <rowFields count="1">
    <field x="8"/>
  </rowFields>
  <rowItems count="2">
    <i>
      <x v="15"/>
    </i>
    <i t="grand">
      <x/>
    </i>
  </rowItems>
  <colFields count="1">
    <field x="6"/>
  </colFields>
  <colItems count="2">
    <i>
      <x v="1"/>
    </i>
    <i t="grand">
      <x/>
    </i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F8C80-31D4-4050-8736-C727665B7075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8" firstHeaderRow="0" firstDataRow="1" firstDataCol="1"/>
  <pivotFields count="12">
    <pivotField showAll="0"/>
    <pivotField showAll="0"/>
    <pivotField showAll="0"/>
    <pivotField dataField="1"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9" subtotal="average" baseField="0" baseItem="0"/>
    <dataField name="Sum of Sales Docume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B9846-28D1-4DA7-AD6A-1D237C3B7B7D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P6" firstHeaderRow="1" firstDataRow="2" firstDataCol="1"/>
  <pivotFields count="12">
    <pivotField showAll="0"/>
    <pivotField showAll="0"/>
    <pivotField showAll="0"/>
    <pivotField showAll="0"/>
    <pivotField axis="axisCol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showAll="0"/>
    <pivotField dataField="1" showAll="0"/>
  </pivotFields>
  <rowFields count="1">
    <field x="8"/>
  </rowFields>
  <rowItems count="2">
    <i>
      <x v="13"/>
    </i>
    <i t="grand">
      <x/>
    </i>
  </rowItems>
  <colFields count="1">
    <field x="4"/>
  </colFields>
  <colItems count="10">
    <i>
      <x v="3"/>
    </i>
    <i>
      <x v="6"/>
    </i>
    <i>
      <x v="8"/>
    </i>
    <i>
      <x v="10"/>
    </i>
    <i>
      <x v="13"/>
    </i>
    <i>
      <x v="15"/>
    </i>
    <i>
      <x v="17"/>
    </i>
    <i>
      <x v="19"/>
    </i>
    <i>
      <x v="20"/>
    </i>
    <i t="grand">
      <x/>
    </i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8E60D-C9A7-4822-82E7-53736356A552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43" firstHeaderRow="1" firstDataRow="2" firstDataCol="1"/>
  <pivotFields count="12">
    <pivotField showAll="0"/>
    <pivotField axis="axisCol" showAll="0">
      <items count="4">
        <item h="1" x="2"/>
        <item h="1" x="1"/>
        <item x="0"/>
        <item t="default"/>
      </items>
    </pivotField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6"/>
    <field x="4"/>
  </rowFields>
  <rowItems count="39">
    <i>
      <x v="1"/>
    </i>
    <i r="1"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2"/>
    </i>
    <i r="1">
      <x/>
    </i>
    <i r="1">
      <x v="1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Fields count="1">
    <field x="1"/>
  </colFields>
  <colItems count="2">
    <i>
      <x v="2"/>
    </i>
    <i t="grand">
      <x/>
    </i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10A79-806C-44C9-A2C3-5D399151475B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21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A38BD-F793-4596-9DD2-88DCD4FA4011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20" firstHeaderRow="0" firstDataRow="1" firstDataCol="1"/>
  <pivotFields count="12">
    <pivotField showAll="0">
      <items count="4">
        <item x="0"/>
        <item x="1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sales" fld="11" subtotal="average" baseField="0" baseItem="0"/>
    <dataField name="Sum of Sales Docume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CF263-9D17-4E3A-9420-2778008C78B5}" name="PivotTable9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8" firstHeaderRow="1" firstDataRow="1" firstDataCol="1"/>
  <pivotFields count="12">
    <pivotField showAll="0"/>
    <pivotField showAll="0"/>
    <pivotField showAll="0"/>
    <pivotField dataField="1"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Docume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2371A-26C8-41DE-8F22-D89C09BBE268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J21" firstHeaderRow="1" firstDataRow="2" firstDataCol="1"/>
  <pivotFields count="12">
    <pivotField showAll="0"/>
    <pivotField showAll="0"/>
    <pivotField showAll="0"/>
    <pivotField showAll="0"/>
    <pivotField numFmtId="16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>
      <items count="20">
        <item x="18"/>
        <item x="14"/>
        <item x="11"/>
        <item x="16"/>
        <item x="15"/>
        <item x="12"/>
        <item x="17"/>
        <item x="13"/>
        <item x="4"/>
        <item x="8"/>
        <item x="0"/>
        <item x="10"/>
        <item x="3"/>
        <item x="1"/>
        <item x="7"/>
        <item x="2"/>
        <item x="5"/>
        <item x="6"/>
        <item x="9"/>
        <item t="default"/>
      </items>
    </pivotField>
    <pivotField showAll="0"/>
    <pivotField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Quantity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E4A8C-85E0-42AB-A74A-75D73B5081B5}" name="PivotTable1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32" firstHeaderRow="1" firstDataRow="1" firstDataCol="1"/>
  <pivotFields count="12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A77F1-430E-4665-880C-A87FED1324EA}" name="PivotTable1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K148" firstHeaderRow="1" firstDataRow="2" firstDataCol="1"/>
  <pivotFields count="12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46">
        <item x="35"/>
        <item x="34"/>
        <item x="30"/>
        <item x="20"/>
        <item x="24"/>
        <item x="21"/>
        <item x="27"/>
        <item x="33"/>
        <item x="29"/>
        <item x="28"/>
        <item x="26"/>
        <item x="12"/>
        <item x="38"/>
        <item x="43"/>
        <item x="32"/>
        <item x="4"/>
        <item x="31"/>
        <item x="36"/>
        <item x="23"/>
        <item x="8"/>
        <item x="6"/>
        <item x="17"/>
        <item x="10"/>
        <item x="41"/>
        <item x="37"/>
        <item x="15"/>
        <item x="0"/>
        <item x="40"/>
        <item x="22"/>
        <item x="19"/>
        <item x="16"/>
        <item x="14"/>
        <item x="44"/>
        <item x="3"/>
        <item x="25"/>
        <item x="39"/>
        <item x="11"/>
        <item x="1"/>
        <item x="9"/>
        <item x="42"/>
        <item x="2"/>
        <item x="7"/>
        <item x="5"/>
        <item x="18"/>
        <item x="13"/>
        <item t="default"/>
      </items>
    </pivotField>
  </pivotFields>
  <rowFields count="2">
    <field x="11"/>
    <field x="3"/>
  </rowFields>
  <rowItems count="144">
    <i>
      <x/>
    </i>
    <i r="1">
      <x v="2"/>
    </i>
    <i>
      <x v="1"/>
    </i>
    <i r="1">
      <x v="2"/>
    </i>
    <i>
      <x v="2"/>
    </i>
    <i r="1">
      <x v="3"/>
    </i>
    <i>
      <x v="3"/>
    </i>
    <i r="1">
      <x/>
    </i>
    <i>
      <x v="4"/>
    </i>
    <i r="1">
      <x v="1"/>
    </i>
    <i>
      <x v="5"/>
    </i>
    <i r="1">
      <x/>
    </i>
    <i>
      <x v="6"/>
    </i>
    <i r="1">
      <x v="2"/>
    </i>
    <i r="1">
      <x v="3"/>
    </i>
    <i>
      <x v="7"/>
    </i>
    <i r="1">
      <x v="2"/>
    </i>
    <i>
      <x v="8"/>
    </i>
    <i r="1">
      <x v="3"/>
    </i>
    <i>
      <x v="9"/>
    </i>
    <i r="1">
      <x v="3"/>
    </i>
    <i>
      <x v="10"/>
    </i>
    <i r="1">
      <x v="3"/>
    </i>
    <i>
      <x v="11"/>
    </i>
    <i r="1">
      <x v="26"/>
    </i>
    <i>
      <x v="12"/>
    </i>
    <i r="1">
      <x v="8"/>
    </i>
    <i r="1">
      <x v="13"/>
    </i>
    <i r="1">
      <x v="15"/>
    </i>
    <i>
      <x v="13"/>
    </i>
    <i r="1">
      <x v="12"/>
    </i>
    <i r="1">
      <x v="17"/>
    </i>
    <i>
      <x v="14"/>
    </i>
    <i r="1">
      <x v="2"/>
    </i>
    <i r="1">
      <x v="3"/>
    </i>
    <i>
      <x v="15"/>
    </i>
    <i r="1">
      <x v="31"/>
    </i>
    <i>
      <x v="16"/>
    </i>
    <i r="1">
      <x v="2"/>
    </i>
    <i r="1">
      <x v="3"/>
    </i>
    <i>
      <x v="17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>
      <x v="18"/>
    </i>
    <i r="1">
      <x v="1"/>
    </i>
    <i>
      <x v="19"/>
    </i>
    <i r="1">
      <x v="37"/>
    </i>
    <i>
      <x v="20"/>
    </i>
    <i r="1">
      <x v="28"/>
    </i>
    <i r="1">
      <x v="36"/>
    </i>
    <i>
      <x v="21"/>
    </i>
    <i r="1">
      <x v="34"/>
    </i>
    <i>
      <x v="22"/>
    </i>
    <i r="1">
      <x v="25"/>
    </i>
    <i>
      <x v="23"/>
    </i>
    <i r="1">
      <x v="15"/>
    </i>
    <i r="1">
      <x v="20"/>
    </i>
    <i>
      <x v="24"/>
    </i>
    <i r="1">
      <x v="4"/>
    </i>
    <i r="1">
      <x v="5"/>
    </i>
    <i r="1">
      <x v="6"/>
    </i>
    <i r="1">
      <x v="9"/>
    </i>
    <i r="1">
      <x v="10"/>
    </i>
    <i r="1">
      <x v="14"/>
    </i>
    <i>
      <x v="25"/>
    </i>
    <i r="1">
      <x v="33"/>
    </i>
    <i>
      <x v="26"/>
    </i>
    <i r="1">
      <x v="24"/>
    </i>
    <i r="1">
      <x v="25"/>
    </i>
    <i r="1">
      <x v="26"/>
    </i>
    <i r="1">
      <x v="28"/>
    </i>
    <i r="1">
      <x v="30"/>
    </i>
    <i r="1">
      <x v="34"/>
    </i>
    <i>
      <x v="27"/>
    </i>
    <i r="1">
      <x v="5"/>
    </i>
    <i r="1">
      <x v="11"/>
    </i>
    <i r="1">
      <x v="18"/>
    </i>
    <i r="1">
      <x v="19"/>
    </i>
    <i>
      <x v="28"/>
    </i>
    <i r="1">
      <x/>
    </i>
    <i>
      <x v="29"/>
    </i>
    <i r="1">
      <x v="24"/>
    </i>
    <i>
      <x v="30"/>
    </i>
    <i r="1">
      <x v="23"/>
    </i>
    <i r="1">
      <x v="34"/>
    </i>
    <i r="1">
      <x v="35"/>
    </i>
    <i>
      <x v="31"/>
    </i>
    <i r="1">
      <x/>
    </i>
    <i r="1">
      <x v="23"/>
    </i>
    <i r="1">
      <x v="28"/>
    </i>
    <i>
      <x v="32"/>
    </i>
    <i r="1">
      <x v="11"/>
    </i>
    <i>
      <x v="33"/>
    </i>
    <i r="1">
      <x v="22"/>
    </i>
    <i r="1">
      <x v="26"/>
    </i>
    <i r="1">
      <x v="27"/>
    </i>
    <i r="1">
      <x v="29"/>
    </i>
    <i r="1">
      <x v="31"/>
    </i>
    <i r="1">
      <x v="32"/>
    </i>
    <i r="1">
      <x v="33"/>
    </i>
    <i>
      <x v="34"/>
    </i>
    <i r="1">
      <x v="1"/>
    </i>
    <i>
      <x v="35"/>
    </i>
    <i r="1">
      <x v="8"/>
    </i>
    <i r="1">
      <x v="14"/>
    </i>
    <i r="1">
      <x v="17"/>
    </i>
    <i r="1">
      <x v="20"/>
    </i>
    <i r="1">
      <x v="21"/>
    </i>
    <i>
      <x v="36"/>
    </i>
    <i r="1">
      <x v="26"/>
    </i>
    <i>
      <x v="37"/>
    </i>
    <i r="1">
      <x v="30"/>
    </i>
    <i r="1">
      <x v="31"/>
    </i>
    <i r="1">
      <x v="37"/>
    </i>
    <i>
      <x v="38"/>
    </i>
    <i r="1">
      <x v="22"/>
    </i>
    <i r="1">
      <x v="37"/>
    </i>
    <i>
      <x v="39"/>
    </i>
    <i r="1">
      <x v="16"/>
    </i>
    <i>
      <x v="40"/>
    </i>
    <i r="1">
      <x v="32"/>
    </i>
    <i>
      <x v="41"/>
    </i>
    <i r="1">
      <x v="37"/>
    </i>
    <i>
      <x v="42"/>
    </i>
    <i r="1">
      <x v="36"/>
    </i>
    <i>
      <x v="43"/>
    </i>
    <i r="1">
      <x v="23"/>
    </i>
    <i r="1">
      <x v="35"/>
    </i>
    <i>
      <x v="44"/>
    </i>
    <i r="1">
      <x v="26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0128A-7197-4F7C-B9D4-3B5629763461}" name="PivotTable1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6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axis="axisRow" showAll="0">
      <items count="5">
        <item h="1" x="3"/>
        <item h="1" x="0"/>
        <item x="1"/>
        <item h="1" x="2"/>
        <item t="default"/>
      </items>
    </pivotField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6"/>
  </rowFields>
  <rowItems count="2">
    <i>
      <x v="2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C5B62-1701-4C2F-8756-97E517A1E403}" name="PivotTable1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28" firstHeaderRow="0" firstDataRow="1" firstDataCol="1"/>
  <pivotFields count="12">
    <pivotField showAll="0"/>
    <pivotField axis="axisRow" showAll="0">
      <items count="4">
        <item h="1" x="2"/>
        <item h="1"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</pivotFields>
  <rowFields count="2">
    <field x="1"/>
    <field x="4"/>
  </rowFields>
  <rowItems count="25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 USD" fld="10" subtotal="average" baseField="0" baseItem="0"/>
    <dataField name="Sum of Sales Docume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9915E-48B6-4998-AB35-805B9CA1B32D}" name="PivotTable1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8" firstHeaderRow="1" firstDataRow="1" firstDataCol="1"/>
  <pivotFields count="12">
    <pivotField showAll="0">
      <items count="4">
        <item x="0"/>
        <item x="1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2">
    <field x="2"/>
    <field x="8"/>
  </rowFields>
  <rowItems count="15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TSales2" displayName="TSales2" ref="A2:L107" totalsRowShown="0" headerRowDxfId="16" dataDxfId="14" headerRowBorderDxfId="15" tableBorderDxfId="13" totalsRowBorderDxfId="12">
  <autoFilter ref="A2:L107" xr:uid="{B3927C07-72AD-450D-9244-F11244B3FAA5}"/>
  <tableColumns count="12">
    <tableColumn id="1" xr3:uid="{8FF508AF-A4B1-4303-A717-709D017570C4}" name="Company" dataDxfId="11"/>
    <tableColumn id="2" xr3:uid="{CF301B5E-B633-4B57-B1D9-B68DD6B89DC4}" name="Company Name" dataDxfId="10"/>
    <tableColumn id="3" xr3:uid="{8AE0B328-BF2A-4594-8295-3E28B8ADA716}" name="Region" dataDxfId="9"/>
    <tableColumn id="4" xr3:uid="{CE92F8AE-EF89-4726-9FB6-D3B87DADFBDE}" name="Sales Document" dataDxfId="8"/>
    <tableColumn id="5" xr3:uid="{8A148EE5-F1F7-49CF-9569-EDE7168AD36C}" name="Document Date" dataDxfId="7"/>
    <tableColumn id="6" xr3:uid="{F473585C-8AC1-4D9B-B5BD-5C8F949193D6}" name="Customer Code" dataDxfId="6"/>
    <tableColumn id="7" xr3:uid="{C82EB0CF-E39F-47F7-ABA1-D7595ABD164A}" name="Customer Name" dataDxfId="5"/>
    <tableColumn id="8" xr3:uid="{22EBF275-AD47-4F61-841A-E664EF46DAF7}" name="Product Code" dataDxfId="4"/>
    <tableColumn id="9" xr3:uid="{588CEC0C-3CB4-48F9-A086-A9C32B067A15}" name="Product Description" dataDxfId="3"/>
    <tableColumn id="10" xr3:uid="{5EC74E3E-E918-4E84-A2C5-47D2FC9B5F03}" name="Quantity" dataDxfId="2"/>
    <tableColumn id="11" xr3:uid="{15BBA754-97E5-40E6-BC17-B9E9F5E92F78}" name="Sales USD" dataDxfId="1"/>
    <tableColumn id="12" xr3:uid="{68EDB8D6-1924-40C5-8057-B9B5F384B3B7}" name="Total sales" dataDxfId="0">
      <calculatedColumnFormula>TSales2[[#This Row],[Quantity]]*TSales2[[#This Row],[Sales USD]]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O107"/>
  <sheetViews>
    <sheetView topLeftCell="A3" workbookViewId="0">
      <selection activeCell="L4" sqref="L4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3" width="13.6640625" customWidth="1"/>
    <col min="14" max="14" width="22.33203125" bestFit="1" customWidth="1"/>
    <col min="15" max="15" width="15.6640625" bestFit="1" customWidth="1"/>
    <col min="16" max="17" width="10.6640625" bestFit="1" customWidth="1"/>
  </cols>
  <sheetData>
    <row r="1" spans="1:13" x14ac:dyDescent="0.3">
      <c r="M1" s="16"/>
    </row>
    <row r="2" spans="1:13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L2" s="20" t="s">
        <v>57</v>
      </c>
      <c r="M2" s="16"/>
    </row>
    <row r="3" spans="1:13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  <c r="L3" s="19">
        <f>TSales2[[#This Row],[Quantity]]*TSales2[[#This Row],[Sales USD]]</f>
        <v>172800</v>
      </c>
    </row>
    <row r="4" spans="1:13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  <c r="L4" s="6">
        <f>TSales2[[#This Row],[Quantity]]*TSales2[[#This Row],[Sales USD]]</f>
        <v>270000</v>
      </c>
    </row>
    <row r="5" spans="1:13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6">
        <f>TSales2[[#This Row],[Quantity]]*TSales2[[#This Row],[Sales USD]]</f>
        <v>346800</v>
      </c>
    </row>
    <row r="6" spans="1:13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6">
        <f>TSales2[[#This Row],[Quantity]]*TSales2[[#This Row],[Sales USD]]</f>
        <v>235200</v>
      </c>
    </row>
    <row r="7" spans="1:13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6">
        <f>TSales2[[#This Row],[Quantity]]*TSales2[[#This Row],[Sales USD]]</f>
        <v>235200</v>
      </c>
    </row>
    <row r="8" spans="1:13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6">
        <f>TSales2[[#This Row],[Quantity]]*TSales2[[#This Row],[Sales USD]]</f>
        <v>270000</v>
      </c>
    </row>
    <row r="9" spans="1:13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6">
        <f>TSales2[[#This Row],[Quantity]]*TSales2[[#This Row],[Sales USD]]</f>
        <v>100000</v>
      </c>
    </row>
    <row r="10" spans="1:13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6">
        <f>TSales2[[#This Row],[Quantity]]*TSales2[[#This Row],[Sales USD]]</f>
        <v>388800</v>
      </c>
    </row>
    <row r="11" spans="1:13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6">
        <f>TSales2[[#This Row],[Quantity]]*TSales2[[#This Row],[Sales USD]]</f>
        <v>144000</v>
      </c>
    </row>
    <row r="12" spans="1:13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6">
        <f>TSales2[[#This Row],[Quantity]]*TSales2[[#This Row],[Sales USD]]</f>
        <v>270000</v>
      </c>
    </row>
    <row r="13" spans="1:13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6">
        <f>TSales2[[#This Row],[Quantity]]*TSales2[[#This Row],[Sales USD]]</f>
        <v>361000</v>
      </c>
    </row>
    <row r="14" spans="1:13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6">
        <f>TSales2[[#This Row],[Quantity]]*TSales2[[#This Row],[Sales USD]]</f>
        <v>128000</v>
      </c>
    </row>
    <row r="15" spans="1:13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6">
        <f>TSales2[[#This Row],[Quantity]]*TSales2[[#This Row],[Sales USD]]</f>
        <v>307200</v>
      </c>
    </row>
    <row r="16" spans="1:13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6">
        <f>TSales2[[#This Row],[Quantity]]*TSales2[[#This Row],[Sales USD]]</f>
        <v>361000</v>
      </c>
    </row>
    <row r="17" spans="1:15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6">
        <f>TSales2[[#This Row],[Quantity]]*TSales2[[#This Row],[Sales USD]]</f>
        <v>172800</v>
      </c>
    </row>
    <row r="18" spans="1:15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6">
        <f>TSales2[[#This Row],[Quantity]]*TSales2[[#This Row],[Sales USD]]</f>
        <v>145200</v>
      </c>
      <c r="M18" s="16"/>
    </row>
    <row r="19" spans="1:15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6">
        <f>TSales2[[#This Row],[Quantity]]*TSales2[[#This Row],[Sales USD]]</f>
        <v>172800</v>
      </c>
      <c r="M19" s="16"/>
    </row>
    <row r="20" spans="1:15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6">
        <f>TSales2[[#This Row],[Quantity]]*TSales2[[#This Row],[Sales USD]]</f>
        <v>235200</v>
      </c>
      <c r="M20" s="16"/>
      <c r="N20" s="15" t="s">
        <v>35</v>
      </c>
      <c r="O20" t="s">
        <v>36</v>
      </c>
    </row>
    <row r="21" spans="1:15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6">
        <f>TSales2[[#This Row],[Quantity]]*TSales2[[#This Row],[Sales USD]]</f>
        <v>256000</v>
      </c>
      <c r="M21" s="16"/>
      <c r="N21" s="9" t="s">
        <v>24</v>
      </c>
      <c r="O21">
        <v>14300</v>
      </c>
    </row>
    <row r="22" spans="1:15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6">
        <f>TSales2[[#This Row],[Quantity]]*TSales2[[#This Row],[Sales USD]]</f>
        <v>72000</v>
      </c>
      <c r="M22" s="16"/>
      <c r="N22" s="10">
        <v>43986</v>
      </c>
      <c r="O22">
        <v>1600</v>
      </c>
    </row>
    <row r="23" spans="1:15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6">
        <f>TSales2[[#This Row],[Quantity]]*TSales2[[#This Row],[Sales USD]]</f>
        <v>480000</v>
      </c>
      <c r="M23" s="16"/>
      <c r="N23" s="10">
        <v>43989</v>
      </c>
      <c r="O23">
        <v>1000</v>
      </c>
    </row>
    <row r="24" spans="1:15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6">
        <f>TSales2[[#This Row],[Quantity]]*TSales2[[#This Row],[Sales USD]]</f>
        <v>235200</v>
      </c>
      <c r="M24" s="16"/>
      <c r="N24" s="10">
        <v>43991</v>
      </c>
      <c r="O24">
        <v>1200</v>
      </c>
    </row>
    <row r="25" spans="1:15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6">
        <f>TSales2[[#This Row],[Quantity]]*TSales2[[#This Row],[Sales USD]]</f>
        <v>235200</v>
      </c>
      <c r="M25" s="16"/>
      <c r="N25" s="10">
        <v>43993</v>
      </c>
      <c r="O25">
        <v>1900</v>
      </c>
    </row>
    <row r="26" spans="1:15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6">
        <f>TSales2[[#This Row],[Quantity]]*TSales2[[#This Row],[Sales USD]]</f>
        <v>235200</v>
      </c>
      <c r="M26" s="16"/>
      <c r="N26" s="10">
        <v>43996</v>
      </c>
      <c r="O26">
        <v>1900</v>
      </c>
    </row>
    <row r="27" spans="1:15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6">
        <f>TSales2[[#This Row],[Quantity]]*TSales2[[#This Row],[Sales USD]]</f>
        <v>235200</v>
      </c>
      <c r="M27" s="16"/>
      <c r="N27" s="10">
        <v>43998</v>
      </c>
      <c r="O27">
        <v>2600</v>
      </c>
    </row>
    <row r="28" spans="1:15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6">
        <f>TSales2[[#This Row],[Quantity]]*TSales2[[#This Row],[Sales USD]]</f>
        <v>172800</v>
      </c>
      <c r="M28" s="16"/>
      <c r="N28" s="10">
        <v>44000</v>
      </c>
      <c r="O28">
        <v>1300</v>
      </c>
    </row>
    <row r="29" spans="1:15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6">
        <f>TSales2[[#This Row],[Quantity]]*TSales2[[#This Row],[Sales USD]]</f>
        <v>202800</v>
      </c>
      <c r="M29" s="16"/>
      <c r="N29" s="10">
        <v>44002</v>
      </c>
      <c r="O29">
        <v>1400</v>
      </c>
    </row>
    <row r="30" spans="1:15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6">
        <f>TSales2[[#This Row],[Quantity]]*TSales2[[#This Row],[Sales USD]]</f>
        <v>144000</v>
      </c>
      <c r="M30" s="16"/>
      <c r="N30" s="10">
        <v>44003</v>
      </c>
      <c r="O30">
        <v>1400</v>
      </c>
    </row>
    <row r="31" spans="1:15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6">
        <f>TSales2[[#This Row],[Quantity]]*TSales2[[#This Row],[Sales USD]]</f>
        <v>235200</v>
      </c>
      <c r="M31" s="16"/>
      <c r="N31" s="9" t="s">
        <v>37</v>
      </c>
      <c r="O31">
        <v>14300</v>
      </c>
    </row>
    <row r="32" spans="1:15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6">
        <f>TSales2[[#This Row],[Quantity]]*TSales2[[#This Row],[Sales USD]]</f>
        <v>169000</v>
      </c>
      <c r="M32" s="16"/>
    </row>
    <row r="33" spans="1:13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6">
        <f>TSales2[[#This Row],[Quantity]]*TSales2[[#This Row],[Sales USD]]</f>
        <v>172800</v>
      </c>
      <c r="M33" s="16"/>
    </row>
    <row r="34" spans="1:13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6">
        <f>TSales2[[#This Row],[Quantity]]*TSales2[[#This Row],[Sales USD]]</f>
        <v>196000</v>
      </c>
      <c r="M34" s="16"/>
    </row>
    <row r="35" spans="1:13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6">
        <f>TSales2[[#This Row],[Quantity]]*TSales2[[#This Row],[Sales USD]]</f>
        <v>144500</v>
      </c>
      <c r="M35" s="16"/>
    </row>
    <row r="36" spans="1:13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6">
        <f>TSales2[[#This Row],[Quantity]]*TSales2[[#This Row],[Sales USD]]</f>
        <v>433200</v>
      </c>
      <c r="M36" s="16"/>
    </row>
    <row r="37" spans="1:13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6">
        <f>TSales2[[#This Row],[Quantity]]*TSales2[[#This Row],[Sales USD]]</f>
        <v>196000</v>
      </c>
      <c r="M37" s="16"/>
    </row>
    <row r="38" spans="1:13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6">
        <f>TSales2[[#This Row],[Quantity]]*TSales2[[#This Row],[Sales USD]]</f>
        <v>235200</v>
      </c>
      <c r="M38" s="16"/>
    </row>
    <row r="39" spans="1:13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6">
        <f>TSales2[[#This Row],[Quantity]]*TSales2[[#This Row],[Sales USD]]</f>
        <v>307200</v>
      </c>
      <c r="M39" s="16"/>
    </row>
    <row r="40" spans="1:13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6">
        <f>TSales2[[#This Row],[Quantity]]*TSales2[[#This Row],[Sales USD]]</f>
        <v>433200</v>
      </c>
      <c r="M40" s="16"/>
    </row>
    <row r="41" spans="1:13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6">
        <f>TSales2[[#This Row],[Quantity]]*TSales2[[#This Row],[Sales USD]]</f>
        <v>202800</v>
      </c>
      <c r="M41" s="16"/>
    </row>
    <row r="42" spans="1:13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6">
        <f>TSales2[[#This Row],[Quantity]]*TSales2[[#This Row],[Sales USD]]</f>
        <v>196000</v>
      </c>
      <c r="M42" s="16"/>
    </row>
    <row r="43" spans="1:13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6">
        <f>TSales2[[#This Row],[Quantity]]*TSales2[[#This Row],[Sales USD]]</f>
        <v>180500</v>
      </c>
      <c r="M43" s="16"/>
    </row>
    <row r="44" spans="1:13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6">
        <f>TSales2[[#This Row],[Quantity]]*TSales2[[#This Row],[Sales USD]]</f>
        <v>172800</v>
      </c>
      <c r="M44" s="16"/>
    </row>
    <row r="45" spans="1:13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6">
        <f>TSales2[[#This Row],[Quantity]]*TSales2[[#This Row],[Sales USD]]</f>
        <v>202800</v>
      </c>
      <c r="M45" s="16"/>
    </row>
    <row r="46" spans="1:13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6">
        <f>TSales2[[#This Row],[Quantity]]*TSales2[[#This Row],[Sales USD]]</f>
        <v>10800</v>
      </c>
      <c r="M46" s="16"/>
    </row>
    <row r="47" spans="1:13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6">
        <f>TSales2[[#This Row],[Quantity]]*TSales2[[#This Row],[Sales USD]]</f>
        <v>18000</v>
      </c>
      <c r="M47" s="16"/>
    </row>
    <row r="48" spans="1:13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6">
        <f>TSales2[[#This Row],[Quantity]]*TSales2[[#This Row],[Sales USD]]</f>
        <v>179200</v>
      </c>
      <c r="M48" s="16"/>
    </row>
    <row r="49" spans="1:13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6">
        <f>TSales2[[#This Row],[Quantity]]*TSales2[[#This Row],[Sales USD]]</f>
        <v>120000</v>
      </c>
      <c r="M49" s="16"/>
    </row>
    <row r="50" spans="1:13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6">
        <f>TSales2[[#This Row],[Quantity]]*TSales2[[#This Row],[Sales USD]]</f>
        <v>11200</v>
      </c>
      <c r="M50" s="16"/>
    </row>
    <row r="51" spans="1:13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6">
        <f>TSales2[[#This Row],[Quantity]]*TSales2[[#This Row],[Sales USD]]</f>
        <v>250000</v>
      </c>
      <c r="M51" s="16"/>
    </row>
    <row r="52" spans="1:13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6">
        <f>TSales2[[#This Row],[Quantity]]*TSales2[[#This Row],[Sales USD]]</f>
        <v>62500</v>
      </c>
      <c r="M52" s="16"/>
    </row>
    <row r="53" spans="1:13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6">
        <f>TSales2[[#This Row],[Quantity]]*TSales2[[#This Row],[Sales USD]]</f>
        <v>19200</v>
      </c>
      <c r="M53" s="16"/>
    </row>
    <row r="54" spans="1:13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6">
        <f>TSales2[[#This Row],[Quantity]]*TSales2[[#This Row],[Sales USD]]</f>
        <v>58800</v>
      </c>
      <c r="M54" s="16"/>
    </row>
    <row r="55" spans="1:13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6">
        <f>TSales2[[#This Row],[Quantity]]*TSales2[[#This Row],[Sales USD]]</f>
        <v>24500</v>
      </c>
      <c r="M55" s="16"/>
    </row>
    <row r="56" spans="1:13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6">
        <f>TSales2[[#This Row],[Quantity]]*TSales2[[#This Row],[Sales USD]]</f>
        <v>2800</v>
      </c>
      <c r="M56" s="16"/>
    </row>
    <row r="57" spans="1:13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6">
        <f>TSales2[[#This Row],[Quantity]]*TSales2[[#This Row],[Sales USD]]</f>
        <v>115200</v>
      </c>
      <c r="M57" s="16"/>
    </row>
    <row r="58" spans="1:13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6">
        <f>TSales2[[#This Row],[Quantity]]*TSales2[[#This Row],[Sales USD]]</f>
        <v>88200</v>
      </c>
      <c r="M58" s="16"/>
    </row>
    <row r="59" spans="1:13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6">
        <f>TSales2[[#This Row],[Quantity]]*TSales2[[#This Row],[Sales USD]]</f>
        <v>88200</v>
      </c>
      <c r="M59" s="16"/>
    </row>
    <row r="60" spans="1:13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6">
        <f>TSales2[[#This Row],[Quantity]]*TSales2[[#This Row],[Sales USD]]</f>
        <v>115200</v>
      </c>
      <c r="M60" s="16"/>
    </row>
    <row r="61" spans="1:13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6">
        <f>TSales2[[#This Row],[Quantity]]*TSales2[[#This Row],[Sales USD]]</f>
        <v>88200</v>
      </c>
      <c r="M61" s="16"/>
    </row>
    <row r="62" spans="1:13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6">
        <f>TSales2[[#This Row],[Quantity]]*TSales2[[#This Row],[Sales USD]]</f>
        <v>21600</v>
      </c>
      <c r="M62" s="16"/>
    </row>
    <row r="63" spans="1:13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6">
        <f>TSales2[[#This Row],[Quantity]]*TSales2[[#This Row],[Sales USD]]</f>
        <v>2000</v>
      </c>
      <c r="M63" s="16"/>
    </row>
    <row r="64" spans="1:13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6">
        <f>TSales2[[#This Row],[Quantity]]*TSales2[[#This Row],[Sales USD]]</f>
        <v>19200</v>
      </c>
      <c r="M64" s="16"/>
    </row>
    <row r="65" spans="1:13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6">
        <f>TSales2[[#This Row],[Quantity]]*TSales2[[#This Row],[Sales USD]]</f>
        <v>1200</v>
      </c>
      <c r="M65" s="16"/>
    </row>
    <row r="66" spans="1:13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6">
        <f>TSales2[[#This Row],[Quantity]]*TSales2[[#This Row],[Sales USD]]</f>
        <v>118200</v>
      </c>
      <c r="M66" s="16"/>
    </row>
    <row r="67" spans="1:13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6">
        <f>TSales2[[#This Row],[Quantity]]*TSales2[[#This Row],[Sales USD]]</f>
        <v>118200</v>
      </c>
      <c r="M67" s="16"/>
    </row>
    <row r="68" spans="1:13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6">
        <f>TSales2[[#This Row],[Quantity]]*TSales2[[#This Row],[Sales USD]]</f>
        <v>118200</v>
      </c>
      <c r="M68" s="16"/>
    </row>
    <row r="69" spans="1:13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6">
        <f>TSales2[[#This Row],[Quantity]]*TSales2[[#This Row],[Sales USD]]</f>
        <v>161000</v>
      </c>
      <c r="M69" s="16"/>
    </row>
    <row r="70" spans="1:13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6">
        <f>TSales2[[#This Row],[Quantity]]*TSales2[[#This Row],[Sales USD]]</f>
        <v>118200</v>
      </c>
      <c r="M70" s="16"/>
    </row>
    <row r="71" spans="1:13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6">
        <f>TSales2[[#This Row],[Quantity]]*TSales2[[#This Row],[Sales USD]]</f>
        <v>82000</v>
      </c>
      <c r="M71" s="16"/>
    </row>
    <row r="72" spans="1:13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6">
        <f>TSales2[[#This Row],[Quantity]]*TSales2[[#This Row],[Sales USD]]</f>
        <v>253800</v>
      </c>
      <c r="M72" s="16"/>
    </row>
    <row r="73" spans="1:13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6">
        <f>TSales2[[#This Row],[Quantity]]*TSales2[[#This Row],[Sales USD]]</f>
        <v>118200</v>
      </c>
      <c r="M73" s="16"/>
    </row>
    <row r="74" spans="1:13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6">
        <f>TSales2[[#This Row],[Quantity]]*TSales2[[#This Row],[Sales USD]]</f>
        <v>176000</v>
      </c>
      <c r="M74" s="16"/>
    </row>
    <row r="75" spans="1:13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6">
        <f>TSales2[[#This Row],[Quantity]]*TSales2[[#This Row],[Sales USD]]</f>
        <v>118200</v>
      </c>
      <c r="M75" s="16"/>
    </row>
    <row r="76" spans="1:13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6">
        <f>TSales2[[#This Row],[Quantity]]*TSales2[[#This Row],[Sales USD]]</f>
        <v>253800</v>
      </c>
      <c r="M76" s="16"/>
    </row>
    <row r="77" spans="1:13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6">
        <f>TSales2[[#This Row],[Quantity]]*TSales2[[#This Row],[Sales USD]]</f>
        <v>150400</v>
      </c>
      <c r="M77" s="16"/>
    </row>
    <row r="78" spans="1:13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6">
        <f>TSales2[[#This Row],[Quantity]]*TSales2[[#This Row],[Sales USD]]</f>
        <v>118200</v>
      </c>
      <c r="M78" s="16"/>
    </row>
    <row r="79" spans="1:13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6">
        <f>TSales2[[#This Row],[Quantity]]*TSales2[[#This Row],[Sales USD]]</f>
        <v>253800</v>
      </c>
      <c r="M79" s="16"/>
    </row>
    <row r="80" spans="1:13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6">
        <f>TSales2[[#This Row],[Quantity]]*TSales2[[#This Row],[Sales USD]]</f>
        <v>82000</v>
      </c>
      <c r="M80" s="16"/>
    </row>
    <row r="81" spans="1:13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6">
        <f>TSales2[[#This Row],[Quantity]]*TSales2[[#This Row],[Sales USD]]</f>
        <v>118200</v>
      </c>
      <c r="M81" s="16"/>
    </row>
    <row r="82" spans="1:13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6">
        <f>TSales2[[#This Row],[Quantity]]*TSales2[[#This Row],[Sales USD]]</f>
        <v>118200</v>
      </c>
      <c r="M82" s="16"/>
    </row>
    <row r="83" spans="1:13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6">
        <f>TSales2[[#This Row],[Quantity]]*TSales2[[#This Row],[Sales USD]]</f>
        <v>161000</v>
      </c>
      <c r="M83" s="16"/>
    </row>
    <row r="84" spans="1:13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6">
        <f>TSales2[[#This Row],[Quantity]]*TSales2[[#This Row],[Sales USD]]</f>
        <v>253800</v>
      </c>
      <c r="M84" s="16"/>
    </row>
    <row r="85" spans="1:13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6">
        <f>TSales2[[#This Row],[Quantity]]*TSales2[[#This Row],[Sales USD]]</f>
        <v>150400</v>
      </c>
      <c r="M85" s="16"/>
    </row>
    <row r="86" spans="1:13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6">
        <f>TSales2[[#This Row],[Quantity]]*TSales2[[#This Row],[Sales USD]]</f>
        <v>82000</v>
      </c>
      <c r="M86" s="16"/>
    </row>
    <row r="87" spans="1:13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6">
        <f>TSales2[[#This Row],[Quantity]]*TSales2[[#This Row],[Sales USD]]</f>
        <v>118200</v>
      </c>
      <c r="M87" s="16"/>
    </row>
    <row r="88" spans="1:13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6">
        <f>TSales2[[#This Row],[Quantity]]*TSales2[[#This Row],[Sales USD]]</f>
        <v>161000</v>
      </c>
      <c r="M88" s="16"/>
    </row>
    <row r="89" spans="1:13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6">
        <f>TSales2[[#This Row],[Quantity]]*TSales2[[#This Row],[Sales USD]]</f>
        <v>161000</v>
      </c>
      <c r="M89" s="16"/>
    </row>
    <row r="90" spans="1:13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6">
        <f>TSales2[[#This Row],[Quantity]]*TSales2[[#This Row],[Sales USD]]</f>
        <v>161000</v>
      </c>
      <c r="M90" s="16"/>
    </row>
    <row r="91" spans="1:13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6">
        <f>TSales2[[#This Row],[Quantity]]*TSales2[[#This Row],[Sales USD]]</f>
        <v>161000</v>
      </c>
      <c r="M91" s="16"/>
    </row>
    <row r="92" spans="1:13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6">
        <f>TSales2[[#This Row],[Quantity]]*TSales2[[#This Row],[Sales USD]]</f>
        <v>118200</v>
      </c>
      <c r="M92" s="16"/>
    </row>
    <row r="93" spans="1:13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6">
        <f>TSales2[[#This Row],[Quantity]]*TSales2[[#This Row],[Sales USD]]</f>
        <v>176000</v>
      </c>
      <c r="M93" s="16"/>
    </row>
    <row r="94" spans="1:13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6">
        <f>TSales2[[#This Row],[Quantity]]*TSales2[[#This Row],[Sales USD]]</f>
        <v>118200</v>
      </c>
      <c r="M94" s="16"/>
    </row>
    <row r="95" spans="1:13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6">
        <f>TSales2[[#This Row],[Quantity]]*TSales2[[#This Row],[Sales USD]]</f>
        <v>345100</v>
      </c>
      <c r="M95" s="16"/>
    </row>
    <row r="96" spans="1:13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6">
        <f>TSales2[[#This Row],[Quantity]]*TSales2[[#This Row],[Sales USD]]</f>
        <v>118200</v>
      </c>
      <c r="M96" s="16"/>
    </row>
    <row r="97" spans="1:13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6">
        <f>TSales2[[#This Row],[Quantity]]*TSales2[[#This Row],[Sales USD]]</f>
        <v>253800</v>
      </c>
      <c r="M97" s="16"/>
    </row>
    <row r="98" spans="1:13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6">
        <f>TSales2[[#This Row],[Quantity]]*TSales2[[#This Row],[Sales USD]]</f>
        <v>84600</v>
      </c>
      <c r="M98" s="16"/>
    </row>
    <row r="99" spans="1:13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6">
        <f>TSales2[[#This Row],[Quantity]]*TSales2[[#This Row],[Sales USD]]</f>
        <v>118200</v>
      </c>
      <c r="M99" s="16"/>
    </row>
    <row r="100" spans="1:13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6">
        <f>TSales2[[#This Row],[Quantity]]*TSales2[[#This Row],[Sales USD]]</f>
        <v>176000</v>
      </c>
      <c r="M100" s="16"/>
    </row>
    <row r="101" spans="1:13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6">
        <f>TSales2[[#This Row],[Quantity]]*TSales2[[#This Row],[Sales USD]]</f>
        <v>161000</v>
      </c>
      <c r="M101" s="16"/>
    </row>
    <row r="102" spans="1:13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6">
        <f>TSales2[[#This Row],[Quantity]]*TSales2[[#This Row],[Sales USD]]</f>
        <v>118200</v>
      </c>
      <c r="M102" s="16"/>
    </row>
    <row r="103" spans="1:13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6">
        <f>TSales2[[#This Row],[Quantity]]*TSales2[[#This Row],[Sales USD]]</f>
        <v>210400</v>
      </c>
      <c r="M103" s="16"/>
    </row>
    <row r="104" spans="1:13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6">
        <f>TSales2[[#This Row],[Quantity]]*TSales2[[#This Row],[Sales USD]]</f>
        <v>210400</v>
      </c>
      <c r="M104" s="16"/>
    </row>
    <row r="105" spans="1:13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6">
        <f>TSales2[[#This Row],[Quantity]]*TSales2[[#This Row],[Sales USD]]</f>
        <v>176000</v>
      </c>
      <c r="M105" s="16"/>
    </row>
    <row r="106" spans="1:13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6">
        <f>TSales2[[#This Row],[Quantity]]*TSales2[[#This Row],[Sales USD]]</f>
        <v>84600</v>
      </c>
      <c r="M106" s="16"/>
    </row>
    <row r="107" spans="1:13" x14ac:dyDescent="0.3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2">
        <f>TSales2[[#This Row],[Quantity]]*TSales2[[#This Row],[Sales USD]]</f>
        <v>118200</v>
      </c>
      <c r="M107" s="1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C16" sqref="C16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7" t="s">
        <v>16</v>
      </c>
    </row>
    <row r="3" spans="2:3" ht="15" x14ac:dyDescent="0.3">
      <c r="B3" s="6">
        <v>2</v>
      </c>
      <c r="C3" s="17" t="s">
        <v>18</v>
      </c>
    </row>
    <row r="4" spans="2:3" ht="15" x14ac:dyDescent="0.3">
      <c r="B4" s="6">
        <v>3</v>
      </c>
      <c r="C4" s="17" t="s">
        <v>19</v>
      </c>
    </row>
    <row r="5" spans="2:3" ht="15" x14ac:dyDescent="0.3">
      <c r="B5" s="6">
        <v>4</v>
      </c>
      <c r="C5" s="17" t="s">
        <v>20</v>
      </c>
    </row>
    <row r="6" spans="2:3" ht="15" x14ac:dyDescent="0.3">
      <c r="B6" s="6">
        <v>5</v>
      </c>
      <c r="C6" s="17" t="s">
        <v>22</v>
      </c>
    </row>
    <row r="7" spans="2:3" ht="15" x14ac:dyDescent="0.3">
      <c r="B7" s="6">
        <v>6</v>
      </c>
      <c r="C7" s="17" t="s">
        <v>23</v>
      </c>
    </row>
    <row r="8" spans="2:3" ht="15" x14ac:dyDescent="0.3">
      <c r="B8" s="6">
        <v>7</v>
      </c>
      <c r="C8" s="17" t="s">
        <v>25</v>
      </c>
    </row>
    <row r="9" spans="2:3" ht="15" x14ac:dyDescent="0.3">
      <c r="B9" s="6">
        <v>8</v>
      </c>
      <c r="C9" s="17" t="s">
        <v>26</v>
      </c>
    </row>
    <row r="10" spans="2:3" ht="15" x14ac:dyDescent="0.3">
      <c r="B10" s="6">
        <v>9</v>
      </c>
      <c r="C10" s="17" t="s">
        <v>27</v>
      </c>
    </row>
    <row r="11" spans="2:3" ht="15" x14ac:dyDescent="0.3">
      <c r="B11" s="6">
        <v>10</v>
      </c>
      <c r="C11" s="17" t="s">
        <v>28</v>
      </c>
    </row>
    <row r="12" spans="2:3" ht="15" x14ac:dyDescent="0.3">
      <c r="B12" s="6">
        <v>11</v>
      </c>
      <c r="C12" s="17" t="s">
        <v>29</v>
      </c>
    </row>
    <row r="13" spans="2:3" ht="15" x14ac:dyDescent="0.3">
      <c r="B13" s="6">
        <v>12</v>
      </c>
      <c r="C13" s="17" t="s">
        <v>31</v>
      </c>
    </row>
    <row r="14" spans="2:3" ht="15" x14ac:dyDescent="0.3">
      <c r="B14" s="6">
        <v>13</v>
      </c>
      <c r="C14" s="17" t="s">
        <v>32</v>
      </c>
    </row>
    <row r="15" spans="2:3" ht="15" x14ac:dyDescent="0.3">
      <c r="B15" s="6">
        <v>14</v>
      </c>
      <c r="C15" s="17" t="s">
        <v>33</v>
      </c>
    </row>
    <row r="16" spans="2:3" ht="15" x14ac:dyDescent="0.3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C152-1562-4372-9DFD-4F11FCFD047E}">
  <dimension ref="D2:F6"/>
  <sheetViews>
    <sheetView workbookViewId="0">
      <selection activeCell="C27" sqref="C27"/>
    </sheetView>
  </sheetViews>
  <sheetFormatPr defaultRowHeight="14.4" x14ac:dyDescent="0.3"/>
  <cols>
    <col min="4" max="4" width="8.44140625" customWidth="1"/>
    <col min="5" max="5" width="13" bestFit="1" customWidth="1"/>
    <col min="6" max="6" width="16.21875" bestFit="1" customWidth="1"/>
  </cols>
  <sheetData>
    <row r="2" spans="4:6" ht="15" x14ac:dyDescent="0.3">
      <c r="D2" s="6">
        <v>1</v>
      </c>
      <c r="E2" s="17" t="s">
        <v>16</v>
      </c>
    </row>
    <row r="3" spans="4:6" x14ac:dyDescent="0.3">
      <c r="E3" s="15" t="s">
        <v>35</v>
      </c>
      <c r="F3" t="s">
        <v>58</v>
      </c>
    </row>
    <row r="4" spans="4:6" x14ac:dyDescent="0.3">
      <c r="E4" s="9" t="s">
        <v>12</v>
      </c>
      <c r="F4" s="18">
        <v>9858800</v>
      </c>
    </row>
    <row r="5" spans="4:6" x14ac:dyDescent="0.3">
      <c r="E5" s="21" t="s">
        <v>13</v>
      </c>
      <c r="F5" s="18">
        <v>9858800</v>
      </c>
    </row>
    <row r="6" spans="4:6" x14ac:dyDescent="0.3">
      <c r="E6" s="9" t="s">
        <v>37</v>
      </c>
      <c r="F6" s="18">
        <v>9858800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476C-3ED4-4386-B28D-33CE69C9E534}">
  <dimension ref="D2:F6"/>
  <sheetViews>
    <sheetView workbookViewId="0">
      <selection activeCell="B27" sqref="B27"/>
    </sheetView>
  </sheetViews>
  <sheetFormatPr defaultRowHeight="14.4" x14ac:dyDescent="0.3"/>
  <cols>
    <col min="5" max="5" width="13" bestFit="1" customWidth="1"/>
    <col min="6" max="6" width="19.109375" bestFit="1" customWidth="1"/>
  </cols>
  <sheetData>
    <row r="2" spans="4:6" ht="15" x14ac:dyDescent="0.3">
      <c r="D2">
        <v>2</v>
      </c>
      <c r="E2" s="17" t="s">
        <v>18</v>
      </c>
    </row>
    <row r="3" spans="4:6" x14ac:dyDescent="0.3">
      <c r="E3" s="15" t="s">
        <v>35</v>
      </c>
      <c r="F3" t="s">
        <v>59</v>
      </c>
    </row>
    <row r="4" spans="4:6" x14ac:dyDescent="0.3">
      <c r="E4" s="9" t="s">
        <v>12</v>
      </c>
      <c r="F4" s="18">
        <v>4378</v>
      </c>
    </row>
    <row r="5" spans="4:6" x14ac:dyDescent="0.3">
      <c r="E5" s="21" t="s">
        <v>13</v>
      </c>
      <c r="F5" s="18">
        <v>4378</v>
      </c>
    </row>
    <row r="6" spans="4:6" x14ac:dyDescent="0.3">
      <c r="E6" s="9" t="s">
        <v>37</v>
      </c>
      <c r="F6" s="18">
        <v>4378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6629-6453-49A5-9735-E9560FB5487C}">
  <dimension ref="D2:H6"/>
  <sheetViews>
    <sheetView workbookViewId="0">
      <selection activeCell="F10" sqref="F10"/>
    </sheetView>
  </sheetViews>
  <sheetFormatPr defaultRowHeight="14.4" x14ac:dyDescent="0.3"/>
  <cols>
    <col min="5" max="5" width="23.88671875" bestFit="1" customWidth="1"/>
    <col min="6" max="6" width="15.5546875" bestFit="1" customWidth="1"/>
    <col min="7" max="7" width="2.88671875" hidden="1" customWidth="1"/>
    <col min="8" max="8" width="10.77734375" bestFit="1" customWidth="1"/>
  </cols>
  <sheetData>
    <row r="2" spans="4:7" ht="15" x14ac:dyDescent="0.3">
      <c r="D2">
        <v>3</v>
      </c>
      <c r="E2" s="17" t="s">
        <v>19</v>
      </c>
    </row>
    <row r="3" spans="4:7" x14ac:dyDescent="0.3">
      <c r="E3" s="15" t="s">
        <v>61</v>
      </c>
      <c r="F3" s="15" t="s">
        <v>60</v>
      </c>
    </row>
    <row r="4" spans="4:7" x14ac:dyDescent="0.3">
      <c r="E4" s="15" t="s">
        <v>35</v>
      </c>
      <c r="F4" t="s">
        <v>14</v>
      </c>
      <c r="G4" t="s">
        <v>37</v>
      </c>
    </row>
    <row r="5" spans="4:7" x14ac:dyDescent="0.3">
      <c r="E5" s="9" t="s">
        <v>15</v>
      </c>
      <c r="F5" s="18">
        <v>880</v>
      </c>
      <c r="G5" s="18">
        <v>880</v>
      </c>
    </row>
    <row r="6" spans="4:7" x14ac:dyDescent="0.3">
      <c r="E6" s="9" t="s">
        <v>37</v>
      </c>
      <c r="F6" s="18">
        <v>880</v>
      </c>
      <c r="G6" s="18">
        <v>880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1F7E-D664-4E75-9E1B-E76A248A42E8}">
  <dimension ref="D2:G8"/>
  <sheetViews>
    <sheetView workbookViewId="0">
      <selection activeCell="D20" sqref="D20"/>
    </sheetView>
  </sheetViews>
  <sheetFormatPr defaultRowHeight="14.4" x14ac:dyDescent="0.3"/>
  <cols>
    <col min="5" max="5" width="12.5546875" bestFit="1" customWidth="1"/>
    <col min="6" max="6" width="18.109375" bestFit="1" customWidth="1"/>
    <col min="7" max="7" width="21.109375" bestFit="1" customWidth="1"/>
  </cols>
  <sheetData>
    <row r="2" spans="4:7" ht="15" x14ac:dyDescent="0.3">
      <c r="D2">
        <v>4</v>
      </c>
      <c r="E2" s="17" t="s">
        <v>20</v>
      </c>
    </row>
    <row r="3" spans="4:7" x14ac:dyDescent="0.3">
      <c r="E3" s="15" t="s">
        <v>35</v>
      </c>
      <c r="F3" t="s">
        <v>63</v>
      </c>
      <c r="G3" t="s">
        <v>62</v>
      </c>
    </row>
    <row r="4" spans="4:7" x14ac:dyDescent="0.3">
      <c r="E4" s="9" t="s">
        <v>54</v>
      </c>
      <c r="F4" s="18">
        <v>61</v>
      </c>
      <c r="G4" s="18">
        <v>916272</v>
      </c>
    </row>
    <row r="5" spans="4:7" x14ac:dyDescent="0.3">
      <c r="E5" s="9" t="s">
        <v>14</v>
      </c>
      <c r="F5" s="18">
        <v>124.82758620689656</v>
      </c>
      <c r="G5" s="18">
        <v>1645019</v>
      </c>
    </row>
    <row r="6" spans="4:7" x14ac:dyDescent="0.3">
      <c r="E6" s="9" t="s">
        <v>21</v>
      </c>
      <c r="F6" s="18">
        <v>110.58823529411765</v>
      </c>
      <c r="G6" s="18">
        <v>1694955</v>
      </c>
    </row>
    <row r="7" spans="4:7" x14ac:dyDescent="0.3">
      <c r="E7" s="9" t="s">
        <v>52</v>
      </c>
      <c r="F7" s="18">
        <v>63.18181818181818</v>
      </c>
      <c r="G7" s="18">
        <v>1009659</v>
      </c>
    </row>
    <row r="8" spans="4:7" x14ac:dyDescent="0.3">
      <c r="E8" s="9" t="s">
        <v>37</v>
      </c>
      <c r="F8" s="18">
        <v>95.142857142857139</v>
      </c>
      <c r="G8" s="18">
        <v>5265905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73B2-A8F7-4D5E-A365-464AC5CFA35D}">
  <dimension ref="E2:P6"/>
  <sheetViews>
    <sheetView workbookViewId="0">
      <selection activeCell="I12" sqref="I12"/>
    </sheetView>
  </sheetViews>
  <sheetFormatPr defaultRowHeight="14.4" x14ac:dyDescent="0.3"/>
  <cols>
    <col min="6" max="6" width="19.6640625" bestFit="1" customWidth="1"/>
    <col min="7" max="7" width="15.5546875" bestFit="1" customWidth="1"/>
    <col min="8" max="15" width="11.77734375" bestFit="1" customWidth="1"/>
    <col min="16" max="16" width="10.77734375" bestFit="1" customWidth="1"/>
  </cols>
  <sheetData>
    <row r="2" spans="5:16" ht="15" x14ac:dyDescent="0.3">
      <c r="E2">
        <v>5</v>
      </c>
      <c r="F2" s="17" t="s">
        <v>22</v>
      </c>
    </row>
    <row r="3" spans="5:16" x14ac:dyDescent="0.3">
      <c r="F3" s="15" t="s">
        <v>58</v>
      </c>
      <c r="G3" s="15" t="s">
        <v>60</v>
      </c>
    </row>
    <row r="4" spans="5:16" x14ac:dyDescent="0.3">
      <c r="F4" s="15" t="s">
        <v>35</v>
      </c>
      <c r="G4" s="23">
        <v>43986</v>
      </c>
      <c r="H4" s="23">
        <v>43989</v>
      </c>
      <c r="I4" s="23">
        <v>43991</v>
      </c>
      <c r="J4" s="23">
        <v>43993</v>
      </c>
      <c r="K4" s="23">
        <v>43996</v>
      </c>
      <c r="L4" s="23">
        <v>43998</v>
      </c>
      <c r="M4" s="23">
        <v>44000</v>
      </c>
      <c r="N4" s="23">
        <v>44002</v>
      </c>
      <c r="O4" s="23">
        <v>44003</v>
      </c>
      <c r="P4" s="23" t="s">
        <v>37</v>
      </c>
    </row>
    <row r="5" spans="5:16" x14ac:dyDescent="0.3">
      <c r="F5" s="9" t="s">
        <v>24</v>
      </c>
      <c r="G5" s="18">
        <v>256000</v>
      </c>
      <c r="H5" s="18">
        <v>100000</v>
      </c>
      <c r="I5" s="18">
        <v>144000</v>
      </c>
      <c r="J5" s="18">
        <v>361000</v>
      </c>
      <c r="K5" s="18">
        <v>361000</v>
      </c>
      <c r="L5" s="18">
        <v>340000</v>
      </c>
      <c r="M5" s="18">
        <v>169000</v>
      </c>
      <c r="N5" s="18">
        <v>196000</v>
      </c>
      <c r="O5" s="18">
        <v>196000</v>
      </c>
      <c r="P5" s="18">
        <v>2123000</v>
      </c>
    </row>
    <row r="6" spans="5:16" x14ac:dyDescent="0.3">
      <c r="F6" s="9" t="s">
        <v>37</v>
      </c>
      <c r="G6" s="18">
        <v>256000</v>
      </c>
      <c r="H6" s="18">
        <v>100000</v>
      </c>
      <c r="I6" s="18">
        <v>144000</v>
      </c>
      <c r="J6" s="18">
        <v>361000</v>
      </c>
      <c r="K6" s="18">
        <v>361000</v>
      </c>
      <c r="L6" s="18">
        <v>340000</v>
      </c>
      <c r="M6" s="18">
        <v>169000</v>
      </c>
      <c r="N6" s="18">
        <v>196000</v>
      </c>
      <c r="O6" s="18">
        <v>196000</v>
      </c>
      <c r="P6" s="18">
        <v>2123000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B557-9E9F-4B69-ACB6-27D9277B621F}">
  <dimension ref="D2:G43"/>
  <sheetViews>
    <sheetView workbookViewId="0">
      <selection activeCell="I16" sqref="I16"/>
    </sheetView>
  </sheetViews>
  <sheetFormatPr defaultRowHeight="14.4" x14ac:dyDescent="0.3"/>
  <cols>
    <col min="5" max="5" width="16.21875" bestFit="1" customWidth="1"/>
    <col min="6" max="6" width="15.5546875" bestFit="1" customWidth="1"/>
    <col min="7" max="7" width="10.77734375" bestFit="1" customWidth="1"/>
    <col min="8" max="8" width="11" bestFit="1" customWidth="1"/>
    <col min="9" max="9" width="10.77734375" bestFit="1" customWidth="1"/>
    <col min="10" max="28" width="11.77734375" bestFit="1" customWidth="1"/>
    <col min="29" max="29" width="15.77734375" bestFit="1" customWidth="1"/>
    <col min="30" max="30" width="10.77734375" bestFit="1" customWidth="1"/>
  </cols>
  <sheetData>
    <row r="2" spans="4:7" ht="15" x14ac:dyDescent="0.3">
      <c r="D2">
        <v>6</v>
      </c>
      <c r="E2" s="17" t="s">
        <v>23</v>
      </c>
    </row>
    <row r="3" spans="4:7" x14ac:dyDescent="0.3">
      <c r="E3" s="15" t="s">
        <v>58</v>
      </c>
      <c r="F3" s="15" t="s">
        <v>60</v>
      </c>
    </row>
    <row r="4" spans="4:7" x14ac:dyDescent="0.3">
      <c r="E4" s="15" t="s">
        <v>35</v>
      </c>
      <c r="F4" t="s">
        <v>12</v>
      </c>
      <c r="G4" t="s">
        <v>37</v>
      </c>
    </row>
    <row r="5" spans="4:7" x14ac:dyDescent="0.3">
      <c r="E5" s="9" t="s">
        <v>14</v>
      </c>
      <c r="F5" s="18">
        <v>5696000</v>
      </c>
      <c r="G5" s="18">
        <v>5696000</v>
      </c>
    </row>
    <row r="6" spans="4:7" x14ac:dyDescent="0.3">
      <c r="E6" s="22">
        <v>43983</v>
      </c>
      <c r="F6" s="18">
        <v>519600</v>
      </c>
      <c r="G6" s="18">
        <v>519600</v>
      </c>
    </row>
    <row r="7" spans="4:7" x14ac:dyDescent="0.3">
      <c r="E7" s="22">
        <v>43984</v>
      </c>
      <c r="F7" s="18">
        <v>678000</v>
      </c>
      <c r="G7" s="18">
        <v>678000</v>
      </c>
    </row>
    <row r="8" spans="4:7" x14ac:dyDescent="0.3">
      <c r="E8" s="22">
        <v>43985</v>
      </c>
      <c r="F8" s="18">
        <v>235200</v>
      </c>
      <c r="G8" s="18">
        <v>235200</v>
      </c>
    </row>
    <row r="9" spans="4:7" x14ac:dyDescent="0.3">
      <c r="E9" s="22">
        <v>43986</v>
      </c>
      <c r="F9" s="18">
        <v>256000</v>
      </c>
      <c r="G9" s="18">
        <v>256000</v>
      </c>
    </row>
    <row r="10" spans="4:7" x14ac:dyDescent="0.3">
      <c r="E10" s="22">
        <v>43990</v>
      </c>
      <c r="F10" s="18">
        <v>388800</v>
      </c>
      <c r="G10" s="18">
        <v>388800</v>
      </c>
    </row>
    <row r="11" spans="4:7" x14ac:dyDescent="0.3">
      <c r="E11" s="22">
        <v>43991</v>
      </c>
      <c r="F11" s="18">
        <v>144000</v>
      </c>
      <c r="G11" s="18">
        <v>144000</v>
      </c>
    </row>
    <row r="12" spans="4:7" x14ac:dyDescent="0.3">
      <c r="E12" s="22">
        <v>43992</v>
      </c>
      <c r="F12" s="18">
        <v>235200</v>
      </c>
      <c r="G12" s="18">
        <v>235200</v>
      </c>
    </row>
    <row r="13" spans="4:7" x14ac:dyDescent="0.3">
      <c r="E13" s="22">
        <v>43993</v>
      </c>
      <c r="F13" s="18">
        <v>235200</v>
      </c>
      <c r="G13" s="18">
        <v>235200</v>
      </c>
    </row>
    <row r="14" spans="4:7" x14ac:dyDescent="0.3">
      <c r="E14" s="22">
        <v>43994</v>
      </c>
      <c r="F14" s="18">
        <v>235200</v>
      </c>
      <c r="G14" s="18">
        <v>235200</v>
      </c>
    </row>
    <row r="15" spans="4:7" x14ac:dyDescent="0.3">
      <c r="E15" s="22">
        <v>43995</v>
      </c>
      <c r="F15" s="18">
        <v>542400</v>
      </c>
      <c r="G15" s="18">
        <v>542400</v>
      </c>
    </row>
    <row r="16" spans="4:7" x14ac:dyDescent="0.3">
      <c r="E16" s="22">
        <v>43996</v>
      </c>
      <c r="F16" s="18">
        <v>361000</v>
      </c>
      <c r="G16" s="18">
        <v>361000</v>
      </c>
    </row>
    <row r="17" spans="5:7" x14ac:dyDescent="0.3">
      <c r="E17" s="22">
        <v>43997</v>
      </c>
      <c r="F17" s="18">
        <v>433200</v>
      </c>
      <c r="G17" s="18">
        <v>433200</v>
      </c>
    </row>
    <row r="18" spans="5:7" x14ac:dyDescent="0.3">
      <c r="E18" s="22">
        <v>43998</v>
      </c>
      <c r="F18" s="18">
        <v>196000</v>
      </c>
      <c r="G18" s="18">
        <v>196000</v>
      </c>
    </row>
    <row r="19" spans="5:7" x14ac:dyDescent="0.3">
      <c r="E19" s="22">
        <v>43999</v>
      </c>
      <c r="F19" s="18">
        <v>235200</v>
      </c>
      <c r="G19" s="18">
        <v>235200</v>
      </c>
    </row>
    <row r="20" spans="5:7" x14ac:dyDescent="0.3">
      <c r="E20" s="22">
        <v>44000</v>
      </c>
      <c r="F20" s="18">
        <v>169000</v>
      </c>
      <c r="G20" s="18">
        <v>169000</v>
      </c>
    </row>
    <row r="21" spans="5:7" x14ac:dyDescent="0.3">
      <c r="E21" s="22">
        <v>44001</v>
      </c>
      <c r="F21" s="18">
        <v>433200</v>
      </c>
      <c r="G21" s="18">
        <v>433200</v>
      </c>
    </row>
    <row r="22" spans="5:7" x14ac:dyDescent="0.3">
      <c r="E22" s="22">
        <v>44002</v>
      </c>
      <c r="F22" s="18">
        <v>202800</v>
      </c>
      <c r="G22" s="18">
        <v>202800</v>
      </c>
    </row>
    <row r="23" spans="5:7" x14ac:dyDescent="0.3">
      <c r="E23" s="22">
        <v>44003</v>
      </c>
      <c r="F23" s="18">
        <v>196000</v>
      </c>
      <c r="G23" s="18">
        <v>196000</v>
      </c>
    </row>
    <row r="24" spans="5:7" x14ac:dyDescent="0.3">
      <c r="E24" s="9" t="s">
        <v>21</v>
      </c>
      <c r="F24" s="18">
        <v>4162800</v>
      </c>
      <c r="G24" s="18">
        <v>4162800</v>
      </c>
    </row>
    <row r="25" spans="5:7" x14ac:dyDescent="0.3">
      <c r="E25" s="22">
        <v>43983</v>
      </c>
      <c r="F25" s="18">
        <v>235200</v>
      </c>
      <c r="G25" s="18">
        <v>235200</v>
      </c>
    </row>
    <row r="26" spans="5:7" x14ac:dyDescent="0.3">
      <c r="E26" s="22">
        <v>43984</v>
      </c>
      <c r="F26" s="18">
        <v>270000</v>
      </c>
      <c r="G26" s="18">
        <v>270000</v>
      </c>
    </row>
    <row r="27" spans="5:7" x14ac:dyDescent="0.3">
      <c r="E27" s="22">
        <v>43987</v>
      </c>
      <c r="F27" s="18">
        <v>72000</v>
      </c>
      <c r="G27" s="18">
        <v>72000</v>
      </c>
    </row>
    <row r="28" spans="5:7" x14ac:dyDescent="0.3">
      <c r="E28" s="22">
        <v>43988</v>
      </c>
      <c r="F28" s="18">
        <v>480000</v>
      </c>
      <c r="G28" s="18">
        <v>480000</v>
      </c>
    </row>
    <row r="29" spans="5:7" x14ac:dyDescent="0.3">
      <c r="E29" s="22">
        <v>43989</v>
      </c>
      <c r="F29" s="18">
        <v>100000</v>
      </c>
      <c r="G29" s="18">
        <v>100000</v>
      </c>
    </row>
    <row r="30" spans="5:7" x14ac:dyDescent="0.3">
      <c r="E30" s="22">
        <v>43992</v>
      </c>
      <c r="F30" s="18">
        <v>270000</v>
      </c>
      <c r="G30" s="18">
        <v>270000</v>
      </c>
    </row>
    <row r="31" spans="5:7" x14ac:dyDescent="0.3">
      <c r="E31" s="22">
        <v>43993</v>
      </c>
      <c r="F31" s="18">
        <v>361000</v>
      </c>
      <c r="G31" s="18">
        <v>361000</v>
      </c>
    </row>
    <row r="32" spans="5:7" x14ac:dyDescent="0.3">
      <c r="E32" s="22">
        <v>43994</v>
      </c>
      <c r="F32" s="18">
        <v>128000</v>
      </c>
      <c r="G32" s="18">
        <v>128000</v>
      </c>
    </row>
    <row r="33" spans="5:7" x14ac:dyDescent="0.3">
      <c r="E33" s="22">
        <v>43996</v>
      </c>
      <c r="F33" s="18">
        <v>172800</v>
      </c>
      <c r="G33" s="18">
        <v>172800</v>
      </c>
    </row>
    <row r="34" spans="5:7" x14ac:dyDescent="0.3">
      <c r="E34" s="22">
        <v>43997</v>
      </c>
      <c r="F34" s="18">
        <v>375600</v>
      </c>
      <c r="G34" s="18">
        <v>375600</v>
      </c>
    </row>
    <row r="35" spans="5:7" x14ac:dyDescent="0.3">
      <c r="E35" s="22">
        <v>43998</v>
      </c>
      <c r="F35" s="18">
        <v>289200</v>
      </c>
      <c r="G35" s="18">
        <v>289200</v>
      </c>
    </row>
    <row r="36" spans="5:7" x14ac:dyDescent="0.3">
      <c r="E36" s="22">
        <v>43999</v>
      </c>
      <c r="F36" s="18">
        <v>235200</v>
      </c>
      <c r="G36" s="18">
        <v>235200</v>
      </c>
    </row>
    <row r="37" spans="5:7" x14ac:dyDescent="0.3">
      <c r="E37" s="22">
        <v>44000</v>
      </c>
      <c r="F37" s="18">
        <v>307200</v>
      </c>
      <c r="G37" s="18">
        <v>307200</v>
      </c>
    </row>
    <row r="38" spans="5:7" x14ac:dyDescent="0.3">
      <c r="E38" s="22">
        <v>44001</v>
      </c>
      <c r="F38" s="18">
        <v>172800</v>
      </c>
      <c r="G38" s="18">
        <v>172800</v>
      </c>
    </row>
    <row r="39" spans="5:7" x14ac:dyDescent="0.3">
      <c r="E39" s="22">
        <v>44002</v>
      </c>
      <c r="F39" s="18">
        <v>196000</v>
      </c>
      <c r="G39" s="18">
        <v>196000</v>
      </c>
    </row>
    <row r="40" spans="5:7" x14ac:dyDescent="0.3">
      <c r="E40" s="22">
        <v>44003</v>
      </c>
      <c r="F40" s="18">
        <v>144500</v>
      </c>
      <c r="G40" s="18">
        <v>144500</v>
      </c>
    </row>
    <row r="41" spans="5:7" x14ac:dyDescent="0.3">
      <c r="E41" s="22">
        <v>44004</v>
      </c>
      <c r="F41" s="18">
        <v>180500</v>
      </c>
      <c r="G41" s="18">
        <v>180500</v>
      </c>
    </row>
    <row r="42" spans="5:7" x14ac:dyDescent="0.3">
      <c r="E42" s="22">
        <v>44005</v>
      </c>
      <c r="F42" s="18">
        <v>172800</v>
      </c>
      <c r="G42" s="18">
        <v>172800</v>
      </c>
    </row>
    <row r="43" spans="5:7" x14ac:dyDescent="0.3">
      <c r="E43" s="9" t="s">
        <v>37</v>
      </c>
      <c r="F43" s="18">
        <v>9858800</v>
      </c>
      <c r="G43" s="18">
        <v>9858800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D953-079A-4911-8621-2A96DAD9D5D9}">
  <dimension ref="F3:H21"/>
  <sheetViews>
    <sheetView workbookViewId="0">
      <selection activeCell="J9" sqref="J9"/>
    </sheetView>
  </sheetViews>
  <sheetFormatPr defaultRowHeight="14.4" x14ac:dyDescent="0.3"/>
  <cols>
    <col min="7" max="7" width="23.88671875" bestFit="1" customWidth="1"/>
    <col min="8" max="8" width="16.21875" bestFit="1" customWidth="1"/>
  </cols>
  <sheetData>
    <row r="3" spans="6:8" ht="15" x14ac:dyDescent="0.3">
      <c r="F3">
        <v>7</v>
      </c>
      <c r="G3" s="17" t="s">
        <v>25</v>
      </c>
    </row>
    <row r="4" spans="6:8" x14ac:dyDescent="0.3">
      <c r="G4" s="15" t="s">
        <v>35</v>
      </c>
      <c r="H4" t="s">
        <v>58</v>
      </c>
    </row>
    <row r="5" spans="6:8" x14ac:dyDescent="0.3">
      <c r="G5" s="9" t="s">
        <v>43</v>
      </c>
      <c r="H5" s="18">
        <v>1759800</v>
      </c>
    </row>
    <row r="6" spans="6:8" x14ac:dyDescent="0.3">
      <c r="G6" s="9" t="s">
        <v>53</v>
      </c>
      <c r="H6" s="18">
        <v>2118400</v>
      </c>
    </row>
    <row r="7" spans="6:8" x14ac:dyDescent="0.3">
      <c r="G7" s="9" t="s">
        <v>42</v>
      </c>
      <c r="H7" s="18">
        <v>44500</v>
      </c>
    </row>
    <row r="8" spans="6:8" x14ac:dyDescent="0.3">
      <c r="G8" s="9" t="s">
        <v>44</v>
      </c>
      <c r="H8" s="18">
        <v>250000</v>
      </c>
    </row>
    <row r="9" spans="6:8" x14ac:dyDescent="0.3">
      <c r="G9" s="9" t="s">
        <v>45</v>
      </c>
      <c r="H9" s="18">
        <v>62500</v>
      </c>
    </row>
    <row r="10" spans="6:8" x14ac:dyDescent="0.3">
      <c r="G10" s="9" t="s">
        <v>47</v>
      </c>
      <c r="H10" s="18">
        <v>264600</v>
      </c>
    </row>
    <row r="11" spans="6:8" x14ac:dyDescent="0.3">
      <c r="G11" s="9" t="s">
        <v>46</v>
      </c>
      <c r="H11" s="18">
        <v>230400</v>
      </c>
    </row>
    <row r="12" spans="6:8" x14ac:dyDescent="0.3">
      <c r="G12" s="9" t="s">
        <v>41</v>
      </c>
      <c r="H12" s="18">
        <v>70800</v>
      </c>
    </row>
    <row r="13" spans="6:8" x14ac:dyDescent="0.3">
      <c r="G13" s="9" t="s">
        <v>40</v>
      </c>
      <c r="H13" s="18">
        <v>361200</v>
      </c>
    </row>
    <row r="14" spans="6:8" x14ac:dyDescent="0.3">
      <c r="G14" s="9" t="s">
        <v>55</v>
      </c>
      <c r="H14" s="18">
        <v>2318100</v>
      </c>
    </row>
    <row r="15" spans="6:8" x14ac:dyDescent="0.3">
      <c r="G15" s="9" t="s">
        <v>56</v>
      </c>
      <c r="H15" s="18">
        <v>470000</v>
      </c>
    </row>
    <row r="16" spans="6:8" x14ac:dyDescent="0.3">
      <c r="G16" s="9" t="s">
        <v>48</v>
      </c>
      <c r="H16" s="18">
        <v>21600</v>
      </c>
    </row>
    <row r="17" spans="7:8" x14ac:dyDescent="0.3">
      <c r="G17" s="9" t="s">
        <v>30</v>
      </c>
      <c r="H17" s="18">
        <v>525000</v>
      </c>
    </row>
    <row r="18" spans="7:8" x14ac:dyDescent="0.3">
      <c r="G18" s="9" t="s">
        <v>24</v>
      </c>
      <c r="H18" s="18">
        <v>2123000</v>
      </c>
    </row>
    <row r="19" spans="7:8" x14ac:dyDescent="0.3">
      <c r="G19" s="9" t="s">
        <v>17</v>
      </c>
      <c r="H19" s="18">
        <v>4146000</v>
      </c>
    </row>
    <row r="20" spans="7:8" x14ac:dyDescent="0.3">
      <c r="G20" s="9" t="s">
        <v>15</v>
      </c>
      <c r="H20" s="18">
        <v>3064800</v>
      </c>
    </row>
    <row r="21" spans="7:8" x14ac:dyDescent="0.3">
      <c r="G21" s="9" t="s">
        <v>37</v>
      </c>
      <c r="H21" s="18">
        <v>17830700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0611-9BE9-43A1-8CB6-2BBAD603073F}">
  <dimension ref="E2:H20"/>
  <sheetViews>
    <sheetView workbookViewId="0">
      <selection activeCell="I4" sqref="I4"/>
    </sheetView>
  </sheetViews>
  <sheetFormatPr defaultRowHeight="14.4" x14ac:dyDescent="0.3"/>
  <cols>
    <col min="6" max="6" width="23.88671875" bestFit="1" customWidth="1"/>
    <col min="7" max="7" width="19.44140625" bestFit="1" customWidth="1"/>
    <col min="8" max="8" width="21.109375" bestFit="1" customWidth="1"/>
  </cols>
  <sheetData>
    <row r="2" spans="5:8" ht="15" x14ac:dyDescent="0.3">
      <c r="E2">
        <v>8</v>
      </c>
      <c r="F2" s="17" t="s">
        <v>26</v>
      </c>
    </row>
    <row r="3" spans="5:8" x14ac:dyDescent="0.3">
      <c r="F3" s="15" t="s">
        <v>35</v>
      </c>
      <c r="G3" t="s">
        <v>64</v>
      </c>
      <c r="H3" t="s">
        <v>62</v>
      </c>
    </row>
    <row r="4" spans="5:8" x14ac:dyDescent="0.3">
      <c r="F4" s="9" t="s">
        <v>43</v>
      </c>
      <c r="G4" s="18">
        <v>117320</v>
      </c>
      <c r="H4" s="18">
        <v>612933</v>
      </c>
    </row>
    <row r="5" spans="5:8" x14ac:dyDescent="0.3">
      <c r="F5" s="9" t="s">
        <v>53</v>
      </c>
      <c r="G5" s="18">
        <v>132400</v>
      </c>
      <c r="H5" s="18">
        <v>734522</v>
      </c>
    </row>
    <row r="6" spans="5:8" x14ac:dyDescent="0.3">
      <c r="F6" s="9" t="s">
        <v>42</v>
      </c>
      <c r="G6" s="18">
        <v>14833.333333333334</v>
      </c>
      <c r="H6" s="18">
        <v>77584</v>
      </c>
    </row>
    <row r="7" spans="5:8" x14ac:dyDescent="0.3">
      <c r="F7" s="9" t="s">
        <v>44</v>
      </c>
      <c r="G7" s="18">
        <v>250000</v>
      </c>
      <c r="H7" s="18">
        <v>24031</v>
      </c>
    </row>
    <row r="8" spans="5:8" x14ac:dyDescent="0.3">
      <c r="F8" s="9" t="s">
        <v>45</v>
      </c>
      <c r="G8" s="18">
        <v>62500</v>
      </c>
      <c r="H8" s="18">
        <v>28112</v>
      </c>
    </row>
    <row r="9" spans="5:8" x14ac:dyDescent="0.3">
      <c r="F9" s="9" t="s">
        <v>47</v>
      </c>
      <c r="G9" s="18">
        <v>88200</v>
      </c>
      <c r="H9" s="18">
        <v>78996</v>
      </c>
    </row>
    <row r="10" spans="5:8" x14ac:dyDescent="0.3">
      <c r="F10" s="9" t="s">
        <v>46</v>
      </c>
      <c r="G10" s="18">
        <v>115200</v>
      </c>
      <c r="H10" s="18">
        <v>53554</v>
      </c>
    </row>
    <row r="11" spans="5:8" x14ac:dyDescent="0.3">
      <c r="F11" s="9" t="s">
        <v>41</v>
      </c>
      <c r="G11" s="18">
        <v>23600</v>
      </c>
      <c r="H11" s="18">
        <v>77584</v>
      </c>
    </row>
    <row r="12" spans="5:8" x14ac:dyDescent="0.3">
      <c r="F12" s="9" t="s">
        <v>40</v>
      </c>
      <c r="G12" s="18">
        <v>90300</v>
      </c>
      <c r="H12" s="18">
        <v>101615</v>
      </c>
    </row>
    <row r="13" spans="5:8" x14ac:dyDescent="0.3">
      <c r="F13" s="9" t="s">
        <v>55</v>
      </c>
      <c r="G13" s="18">
        <v>231810</v>
      </c>
      <c r="H13" s="18">
        <v>467559</v>
      </c>
    </row>
    <row r="14" spans="5:8" x14ac:dyDescent="0.3">
      <c r="F14" s="9" t="s">
        <v>56</v>
      </c>
      <c r="G14" s="18">
        <v>117500</v>
      </c>
      <c r="H14" s="18">
        <v>187090</v>
      </c>
    </row>
    <row r="15" spans="5:8" x14ac:dyDescent="0.3">
      <c r="F15" s="9" t="s">
        <v>48</v>
      </c>
      <c r="G15" s="18">
        <v>21600</v>
      </c>
      <c r="H15" s="18">
        <v>25442</v>
      </c>
    </row>
    <row r="16" spans="5:8" x14ac:dyDescent="0.3">
      <c r="F16" s="9" t="s">
        <v>30</v>
      </c>
      <c r="G16" s="18">
        <v>131250</v>
      </c>
      <c r="H16" s="18">
        <v>267512</v>
      </c>
    </row>
    <row r="17" spans="6:8" x14ac:dyDescent="0.3">
      <c r="F17" s="9" t="s">
        <v>24</v>
      </c>
      <c r="G17" s="18">
        <v>212300</v>
      </c>
      <c r="H17" s="18">
        <v>671983</v>
      </c>
    </row>
    <row r="18" spans="6:8" x14ac:dyDescent="0.3">
      <c r="F18" s="9" t="s">
        <v>17</v>
      </c>
      <c r="G18" s="18">
        <v>259125</v>
      </c>
      <c r="H18" s="18">
        <v>1067366</v>
      </c>
    </row>
    <row r="19" spans="6:8" x14ac:dyDescent="0.3">
      <c r="F19" s="9" t="s">
        <v>15</v>
      </c>
      <c r="G19" s="18">
        <v>255400</v>
      </c>
      <c r="H19" s="18">
        <v>790022</v>
      </c>
    </row>
    <row r="20" spans="6:8" x14ac:dyDescent="0.3">
      <c r="F20" s="9" t="s">
        <v>37</v>
      </c>
      <c r="G20" s="18">
        <v>169816.19047619047</v>
      </c>
      <c r="H20" s="18">
        <v>5265905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EC77-7B78-4820-83F5-A56EA17554B9}">
  <dimension ref="D2:F8"/>
  <sheetViews>
    <sheetView workbookViewId="0">
      <selection activeCell="G4" sqref="G4"/>
    </sheetView>
  </sheetViews>
  <sheetFormatPr defaultRowHeight="14.4" x14ac:dyDescent="0.3"/>
  <cols>
    <col min="5" max="5" width="12.5546875" bestFit="1" customWidth="1"/>
    <col min="6" max="6" width="21.109375" bestFit="1" customWidth="1"/>
  </cols>
  <sheetData>
    <row r="2" spans="4:6" ht="15" x14ac:dyDescent="0.3">
      <c r="D2">
        <v>9</v>
      </c>
      <c r="E2" s="17" t="s">
        <v>27</v>
      </c>
    </row>
    <row r="3" spans="4:6" x14ac:dyDescent="0.3">
      <c r="E3" s="15" t="s">
        <v>35</v>
      </c>
      <c r="F3" t="s">
        <v>62</v>
      </c>
    </row>
    <row r="4" spans="4:6" x14ac:dyDescent="0.3">
      <c r="E4" s="9" t="s">
        <v>54</v>
      </c>
      <c r="F4" s="18">
        <v>916272</v>
      </c>
    </row>
    <row r="5" spans="4:6" x14ac:dyDescent="0.3">
      <c r="E5" s="9" t="s">
        <v>14</v>
      </c>
      <c r="F5" s="18">
        <v>1645019</v>
      </c>
    </row>
    <row r="6" spans="4:6" x14ac:dyDescent="0.3">
      <c r="E6" s="9" t="s">
        <v>21</v>
      </c>
      <c r="F6" s="18">
        <v>1694955</v>
      </c>
    </row>
    <row r="7" spans="4:6" x14ac:dyDescent="0.3">
      <c r="E7" s="9" t="s">
        <v>52</v>
      </c>
      <c r="F7" s="18">
        <v>1009659</v>
      </c>
    </row>
    <row r="8" spans="4:6" x14ac:dyDescent="0.3">
      <c r="E8" s="9" t="s">
        <v>37</v>
      </c>
      <c r="F8" s="18">
        <v>5265905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1EDF-1C3E-4370-B79C-3FD82FBACB7D}">
  <dimension ref="D2:J21"/>
  <sheetViews>
    <sheetView workbookViewId="0">
      <selection activeCell="E23" sqref="E23"/>
    </sheetView>
  </sheetViews>
  <sheetFormatPr defaultRowHeight="14.4" x14ac:dyDescent="0.3"/>
  <cols>
    <col min="5" max="5" width="23.88671875" bestFit="1" customWidth="1"/>
    <col min="6" max="6" width="15.5546875" bestFit="1" customWidth="1"/>
    <col min="7" max="10" width="12" bestFit="1" customWidth="1"/>
    <col min="11" max="13" width="3" bestFit="1" customWidth="1"/>
    <col min="14" max="24" width="4" bestFit="1" customWidth="1"/>
    <col min="25" max="25" width="10.77734375" bestFit="1" customWidth="1"/>
  </cols>
  <sheetData>
    <row r="2" spans="4:10" ht="15" x14ac:dyDescent="0.3">
      <c r="D2">
        <v>10</v>
      </c>
      <c r="E2" s="17" t="s">
        <v>28</v>
      </c>
    </row>
    <row r="3" spans="4:10" x14ac:dyDescent="0.3">
      <c r="E3" s="15" t="s">
        <v>63</v>
      </c>
      <c r="F3" s="15" t="s">
        <v>60</v>
      </c>
    </row>
    <row r="4" spans="4:10" x14ac:dyDescent="0.3">
      <c r="E4" s="15" t="s">
        <v>35</v>
      </c>
      <c r="F4" t="s">
        <v>54</v>
      </c>
      <c r="G4" t="s">
        <v>14</v>
      </c>
      <c r="H4" t="s">
        <v>21</v>
      </c>
      <c r="I4" t="s">
        <v>52</v>
      </c>
      <c r="J4" t="s">
        <v>37</v>
      </c>
    </row>
    <row r="5" spans="4:10" x14ac:dyDescent="0.3">
      <c r="E5" s="9" t="s">
        <v>43</v>
      </c>
      <c r="F5" s="18">
        <v>60</v>
      </c>
      <c r="G5" s="18"/>
      <c r="H5" s="18">
        <v>36.666666666666664</v>
      </c>
      <c r="I5" s="18">
        <v>65</v>
      </c>
      <c r="J5" s="18">
        <v>57.333333333333336</v>
      </c>
    </row>
    <row r="6" spans="4:10" x14ac:dyDescent="0.3">
      <c r="E6" s="9" t="s">
        <v>53</v>
      </c>
      <c r="F6" s="18">
        <v>58.333333333333336</v>
      </c>
      <c r="G6" s="18"/>
      <c r="H6" s="18"/>
      <c r="I6" s="18">
        <v>66</v>
      </c>
      <c r="J6" s="18">
        <v>63.125</v>
      </c>
    </row>
    <row r="7" spans="4:10" x14ac:dyDescent="0.3">
      <c r="E7" s="9" t="s">
        <v>42</v>
      </c>
      <c r="F7" s="18"/>
      <c r="G7" s="18">
        <v>20</v>
      </c>
      <c r="H7" s="18">
        <v>65</v>
      </c>
      <c r="I7" s="18"/>
      <c r="J7" s="18">
        <v>50</v>
      </c>
    </row>
    <row r="8" spans="4:10" x14ac:dyDescent="0.3">
      <c r="E8" s="9" t="s">
        <v>44</v>
      </c>
      <c r="F8" s="18"/>
      <c r="G8" s="18"/>
      <c r="H8" s="18">
        <v>100</v>
      </c>
      <c r="I8" s="18"/>
      <c r="J8" s="18">
        <v>100</v>
      </c>
    </row>
    <row r="9" spans="4:10" x14ac:dyDescent="0.3">
      <c r="E9" s="9" t="s">
        <v>45</v>
      </c>
      <c r="F9" s="18"/>
      <c r="G9" s="18"/>
      <c r="H9" s="18">
        <v>50</v>
      </c>
      <c r="I9" s="18"/>
      <c r="J9" s="18">
        <v>50</v>
      </c>
    </row>
    <row r="10" spans="4:10" x14ac:dyDescent="0.3">
      <c r="E10" s="9" t="s">
        <v>47</v>
      </c>
      <c r="F10" s="18"/>
      <c r="G10" s="18">
        <v>70</v>
      </c>
      <c r="H10" s="18">
        <v>70</v>
      </c>
      <c r="I10" s="18"/>
      <c r="J10" s="18">
        <v>70</v>
      </c>
    </row>
    <row r="11" spans="4:10" x14ac:dyDescent="0.3">
      <c r="E11" s="9" t="s">
        <v>46</v>
      </c>
      <c r="F11" s="18"/>
      <c r="G11" s="18">
        <v>80</v>
      </c>
      <c r="H11" s="18">
        <v>80</v>
      </c>
      <c r="I11" s="18"/>
      <c r="J11" s="18">
        <v>80</v>
      </c>
    </row>
    <row r="12" spans="4:10" x14ac:dyDescent="0.3">
      <c r="E12" s="9" t="s">
        <v>41</v>
      </c>
      <c r="F12" s="18"/>
      <c r="G12" s="18">
        <v>10</v>
      </c>
      <c r="H12" s="18">
        <v>50</v>
      </c>
      <c r="I12" s="18"/>
      <c r="J12" s="18">
        <v>36.666666666666664</v>
      </c>
    </row>
    <row r="13" spans="4:10" x14ac:dyDescent="0.3">
      <c r="E13" s="9" t="s">
        <v>40</v>
      </c>
      <c r="F13" s="18"/>
      <c r="G13" s="18">
        <v>40</v>
      </c>
      <c r="H13" s="18">
        <v>90</v>
      </c>
      <c r="I13" s="18"/>
      <c r="J13" s="18">
        <v>77.5</v>
      </c>
    </row>
    <row r="14" spans="4:10" x14ac:dyDescent="0.3">
      <c r="E14" s="9" t="s">
        <v>55</v>
      </c>
      <c r="F14" s="18">
        <v>57.5</v>
      </c>
      <c r="G14" s="18"/>
      <c r="H14" s="18"/>
      <c r="I14" s="18">
        <v>56.666666666666664</v>
      </c>
      <c r="J14" s="18">
        <v>57</v>
      </c>
    </row>
    <row r="15" spans="4:10" x14ac:dyDescent="0.3">
      <c r="E15" s="9" t="s">
        <v>56</v>
      </c>
      <c r="F15" s="18">
        <v>70</v>
      </c>
      <c r="G15" s="18"/>
      <c r="H15" s="18"/>
      <c r="I15" s="18"/>
      <c r="J15" s="18">
        <v>70</v>
      </c>
    </row>
    <row r="16" spans="4:10" x14ac:dyDescent="0.3">
      <c r="E16" s="9" t="s">
        <v>48</v>
      </c>
      <c r="F16" s="18"/>
      <c r="G16" s="18">
        <v>60</v>
      </c>
      <c r="H16" s="18"/>
      <c r="I16" s="18"/>
      <c r="J16" s="18">
        <v>60</v>
      </c>
    </row>
    <row r="17" spans="5:10" x14ac:dyDescent="0.3">
      <c r="E17" s="9" t="s">
        <v>30</v>
      </c>
      <c r="F17" s="18"/>
      <c r="G17" s="18"/>
      <c r="H17" s="18">
        <v>160</v>
      </c>
      <c r="I17" s="18"/>
      <c r="J17" s="18">
        <v>160</v>
      </c>
    </row>
    <row r="18" spans="5:10" x14ac:dyDescent="0.3">
      <c r="E18" s="9" t="s">
        <v>24</v>
      </c>
      <c r="F18" s="18"/>
      <c r="G18" s="18">
        <v>146.66666666666666</v>
      </c>
      <c r="H18" s="18">
        <v>137.5</v>
      </c>
      <c r="I18" s="18"/>
      <c r="J18" s="18">
        <v>143</v>
      </c>
    </row>
    <row r="19" spans="5:10" x14ac:dyDescent="0.3">
      <c r="E19" s="9" t="s">
        <v>17</v>
      </c>
      <c r="F19" s="18"/>
      <c r="G19" s="18">
        <v>151</v>
      </c>
      <c r="H19" s="18">
        <v>136.66666666666666</v>
      </c>
      <c r="I19" s="18"/>
      <c r="J19" s="18">
        <v>145.625</v>
      </c>
    </row>
    <row r="20" spans="5:10" x14ac:dyDescent="0.3">
      <c r="E20" s="9" t="s">
        <v>15</v>
      </c>
      <c r="F20" s="18"/>
      <c r="G20" s="18">
        <v>146.66666666666666</v>
      </c>
      <c r="H20" s="18">
        <v>140</v>
      </c>
      <c r="I20" s="18"/>
      <c r="J20" s="18">
        <v>143.33333333333334</v>
      </c>
    </row>
    <row r="21" spans="5:10" x14ac:dyDescent="0.3">
      <c r="E21" s="9" t="s">
        <v>37</v>
      </c>
      <c r="F21" s="18">
        <v>61</v>
      </c>
      <c r="G21" s="18">
        <v>124.82758620689656</v>
      </c>
      <c r="H21" s="18">
        <v>110.58823529411765</v>
      </c>
      <c r="I21" s="18">
        <v>63.18181818181818</v>
      </c>
      <c r="J21" s="18">
        <v>95.142857142857139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CFC9-9526-42C8-AA93-7F38866DE28B}">
  <dimension ref="E2:G32"/>
  <sheetViews>
    <sheetView workbookViewId="0">
      <selection activeCell="F9" sqref="F9"/>
    </sheetView>
  </sheetViews>
  <sheetFormatPr defaultRowHeight="14.4" x14ac:dyDescent="0.3"/>
  <cols>
    <col min="6" max="6" width="12.5546875" bestFit="1" customWidth="1"/>
    <col min="7" max="7" width="16.21875" bestFit="1" customWidth="1"/>
  </cols>
  <sheetData>
    <row r="2" spans="5:7" ht="15" x14ac:dyDescent="0.3">
      <c r="E2">
        <v>11</v>
      </c>
      <c r="F2" s="17" t="s">
        <v>29</v>
      </c>
    </row>
    <row r="3" spans="5:7" x14ac:dyDescent="0.3">
      <c r="F3" s="15" t="s">
        <v>35</v>
      </c>
      <c r="G3" t="s">
        <v>58</v>
      </c>
    </row>
    <row r="4" spans="5:7" x14ac:dyDescent="0.3">
      <c r="F4" s="24">
        <v>43983</v>
      </c>
      <c r="G4" s="18">
        <v>1312200</v>
      </c>
    </row>
    <row r="5" spans="5:7" x14ac:dyDescent="0.3">
      <c r="F5" s="24">
        <v>43984</v>
      </c>
      <c r="G5" s="18">
        <v>1320000</v>
      </c>
    </row>
    <row r="6" spans="5:7" x14ac:dyDescent="0.3">
      <c r="F6" s="24">
        <v>43985</v>
      </c>
      <c r="G6" s="18">
        <v>253200</v>
      </c>
    </row>
    <row r="7" spans="5:7" x14ac:dyDescent="0.3">
      <c r="F7" s="24">
        <v>43986</v>
      </c>
      <c r="G7" s="18">
        <v>435200</v>
      </c>
    </row>
    <row r="8" spans="5:7" x14ac:dyDescent="0.3">
      <c r="F8" s="24">
        <v>43987</v>
      </c>
      <c r="G8" s="18">
        <v>192000</v>
      </c>
    </row>
    <row r="9" spans="5:7" x14ac:dyDescent="0.3">
      <c r="F9" s="24">
        <v>43988</v>
      </c>
      <c r="G9" s="18">
        <v>491200</v>
      </c>
    </row>
    <row r="10" spans="5:7" x14ac:dyDescent="0.3">
      <c r="F10" s="24">
        <v>43989</v>
      </c>
      <c r="G10" s="18">
        <v>603800</v>
      </c>
    </row>
    <row r="11" spans="5:7" x14ac:dyDescent="0.3">
      <c r="F11" s="24">
        <v>43990</v>
      </c>
      <c r="G11" s="18">
        <v>805900</v>
      </c>
    </row>
    <row r="12" spans="5:7" x14ac:dyDescent="0.3">
      <c r="F12" s="24">
        <v>43991</v>
      </c>
      <c r="G12" s="18">
        <v>846800</v>
      </c>
    </row>
    <row r="13" spans="5:7" x14ac:dyDescent="0.3">
      <c r="F13" s="24">
        <v>43992</v>
      </c>
      <c r="G13" s="18">
        <v>564000</v>
      </c>
    </row>
    <row r="14" spans="5:7" x14ac:dyDescent="0.3">
      <c r="F14" s="24">
        <v>43993</v>
      </c>
      <c r="G14" s="18">
        <v>620700</v>
      </c>
    </row>
    <row r="15" spans="5:7" x14ac:dyDescent="0.3">
      <c r="F15" s="24">
        <v>43994</v>
      </c>
      <c r="G15" s="18">
        <v>516400</v>
      </c>
    </row>
    <row r="16" spans="5:7" x14ac:dyDescent="0.3">
      <c r="F16" s="24">
        <v>43995</v>
      </c>
      <c r="G16" s="18">
        <v>657600</v>
      </c>
    </row>
    <row r="17" spans="6:7" x14ac:dyDescent="0.3">
      <c r="F17" s="24">
        <v>43996</v>
      </c>
      <c r="G17" s="18">
        <v>622000</v>
      </c>
    </row>
    <row r="18" spans="6:7" x14ac:dyDescent="0.3">
      <c r="F18" s="24">
        <v>43997</v>
      </c>
      <c r="G18" s="18">
        <v>1365800</v>
      </c>
    </row>
    <row r="19" spans="6:7" x14ac:dyDescent="0.3">
      <c r="F19" s="24">
        <v>43998</v>
      </c>
      <c r="G19" s="18">
        <v>1537400</v>
      </c>
    </row>
    <row r="20" spans="6:7" x14ac:dyDescent="0.3">
      <c r="F20" s="24">
        <v>43999</v>
      </c>
      <c r="G20" s="18">
        <v>643200</v>
      </c>
    </row>
    <row r="21" spans="6:7" x14ac:dyDescent="0.3">
      <c r="F21" s="24">
        <v>44000</v>
      </c>
      <c r="G21" s="18">
        <v>852400</v>
      </c>
    </row>
    <row r="22" spans="6:7" x14ac:dyDescent="0.3">
      <c r="F22" s="24">
        <v>44001</v>
      </c>
      <c r="G22" s="18">
        <v>1037800</v>
      </c>
    </row>
    <row r="23" spans="6:7" x14ac:dyDescent="0.3">
      <c r="F23" s="24">
        <v>44002</v>
      </c>
      <c r="G23" s="18">
        <v>579000</v>
      </c>
    </row>
    <row r="24" spans="6:7" x14ac:dyDescent="0.3">
      <c r="F24" s="24">
        <v>44003</v>
      </c>
      <c r="G24" s="18">
        <v>459900</v>
      </c>
    </row>
    <row r="25" spans="6:7" x14ac:dyDescent="0.3">
      <c r="F25" s="24">
        <v>44004</v>
      </c>
      <c r="G25" s="18">
        <v>390900</v>
      </c>
    </row>
    <row r="26" spans="6:7" x14ac:dyDescent="0.3">
      <c r="F26" s="24">
        <v>44005</v>
      </c>
      <c r="G26" s="18">
        <v>720200</v>
      </c>
    </row>
    <row r="27" spans="6:7" x14ac:dyDescent="0.3">
      <c r="F27" s="24">
        <v>44006</v>
      </c>
      <c r="G27" s="18">
        <v>176000</v>
      </c>
    </row>
    <row r="28" spans="6:7" x14ac:dyDescent="0.3">
      <c r="F28" s="24">
        <v>44007</v>
      </c>
      <c r="G28" s="18">
        <v>245600</v>
      </c>
    </row>
    <row r="29" spans="6:7" x14ac:dyDescent="0.3">
      <c r="F29" s="24">
        <v>44008</v>
      </c>
      <c r="G29" s="18">
        <v>118200</v>
      </c>
    </row>
    <row r="30" spans="6:7" x14ac:dyDescent="0.3">
      <c r="F30" s="24">
        <v>44011</v>
      </c>
      <c r="G30" s="18">
        <v>118200</v>
      </c>
    </row>
    <row r="31" spans="6:7" x14ac:dyDescent="0.3">
      <c r="F31" s="24">
        <v>44012</v>
      </c>
      <c r="G31" s="18">
        <v>345100</v>
      </c>
    </row>
    <row r="32" spans="6:7" x14ac:dyDescent="0.3">
      <c r="F32" s="24" t="s">
        <v>37</v>
      </c>
      <c r="G32" s="18">
        <v>17830700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97DC-4D9B-4546-9294-F0F43BB7B3A3}">
  <dimension ref="E2:K148"/>
  <sheetViews>
    <sheetView workbookViewId="0">
      <selection activeCell="N10" sqref="N10"/>
    </sheetView>
  </sheetViews>
  <sheetFormatPr defaultRowHeight="14.4" x14ac:dyDescent="0.3"/>
  <cols>
    <col min="6" max="6" width="12.5546875" bestFit="1" customWidth="1"/>
    <col min="7" max="7" width="15.5546875" bestFit="1" customWidth="1"/>
    <col min="8" max="8" width="6.88671875" bestFit="1" customWidth="1"/>
    <col min="9" max="9" width="5.33203125" bestFit="1" customWidth="1"/>
    <col min="10" max="10" width="7.21875" bestFit="1" customWidth="1"/>
    <col min="11" max="11" width="10.77734375" bestFit="1" customWidth="1"/>
    <col min="12" max="44" width="6" bestFit="1" customWidth="1"/>
    <col min="45" max="45" width="10.77734375" bestFit="1" customWidth="1"/>
    <col min="46" max="46" width="11.6640625" bestFit="1" customWidth="1"/>
    <col min="47" max="47" width="9" bestFit="1" customWidth="1"/>
    <col min="48" max="61" width="6" bestFit="1" customWidth="1"/>
    <col min="62" max="62" width="11.6640625" bestFit="1" customWidth="1"/>
    <col min="63" max="63" width="9" bestFit="1" customWidth="1"/>
    <col min="64" max="64" width="11.6640625" bestFit="1" customWidth="1"/>
    <col min="65" max="65" width="9" bestFit="1" customWidth="1"/>
    <col min="66" max="66" width="11.6640625" bestFit="1" customWidth="1"/>
    <col min="67" max="67" width="9" bestFit="1" customWidth="1"/>
    <col min="68" max="68" width="6" bestFit="1" customWidth="1"/>
    <col min="69" max="69" width="11.6640625" bestFit="1" customWidth="1"/>
    <col min="70" max="70" width="9" bestFit="1" customWidth="1"/>
    <col min="71" max="71" width="11.6640625" bestFit="1" customWidth="1"/>
    <col min="72" max="72" width="9" bestFit="1" customWidth="1"/>
    <col min="73" max="73" width="11.6640625" bestFit="1" customWidth="1"/>
    <col min="74" max="74" width="9" bestFit="1" customWidth="1"/>
    <col min="75" max="75" width="6" bestFit="1" customWidth="1"/>
    <col min="76" max="76" width="11.6640625" bestFit="1" customWidth="1"/>
    <col min="77" max="77" width="9" bestFit="1" customWidth="1"/>
    <col min="78" max="82" width="6" bestFit="1" customWidth="1"/>
    <col min="83" max="83" width="11.6640625" bestFit="1" customWidth="1"/>
    <col min="84" max="84" width="9" bestFit="1" customWidth="1"/>
    <col min="85" max="85" width="11.6640625" bestFit="1" customWidth="1"/>
    <col min="86" max="86" width="9" bestFit="1" customWidth="1"/>
    <col min="87" max="91" width="6" bestFit="1" customWidth="1"/>
    <col min="92" max="92" width="11.6640625" bestFit="1" customWidth="1"/>
    <col min="93" max="93" width="9" bestFit="1" customWidth="1"/>
    <col min="94" max="96" width="6" bestFit="1" customWidth="1"/>
    <col min="97" max="97" width="11.6640625" bestFit="1" customWidth="1"/>
    <col min="98" max="98" width="9" bestFit="1" customWidth="1"/>
    <col min="99" max="99" width="11.6640625" bestFit="1" customWidth="1"/>
    <col min="100" max="100" width="9" bestFit="1" customWidth="1"/>
    <col min="101" max="101" width="11.6640625" bestFit="1" customWidth="1"/>
    <col min="102" max="102" width="9" bestFit="1" customWidth="1"/>
    <col min="103" max="104" width="6" bestFit="1" customWidth="1"/>
    <col min="105" max="105" width="11.6640625" bestFit="1" customWidth="1"/>
    <col min="106" max="106" width="9" bestFit="1" customWidth="1"/>
    <col min="107" max="108" width="6" bestFit="1" customWidth="1"/>
    <col min="109" max="109" width="11.6640625" bestFit="1" customWidth="1"/>
    <col min="110" max="110" width="9" bestFit="1" customWidth="1"/>
    <col min="111" max="111" width="11.6640625" bestFit="1" customWidth="1"/>
    <col min="112" max="112" width="9" bestFit="1" customWidth="1"/>
    <col min="113" max="118" width="6" bestFit="1" customWidth="1"/>
    <col min="119" max="119" width="11.6640625" bestFit="1" customWidth="1"/>
    <col min="120" max="120" width="9" bestFit="1" customWidth="1"/>
    <col min="121" max="121" width="11.6640625" bestFit="1" customWidth="1"/>
    <col min="122" max="122" width="9" bestFit="1" customWidth="1"/>
    <col min="123" max="126" width="6" bestFit="1" customWidth="1"/>
    <col min="127" max="127" width="11.6640625" bestFit="1" customWidth="1"/>
    <col min="128" max="128" width="9" bestFit="1" customWidth="1"/>
    <col min="129" max="129" width="11.6640625" bestFit="1" customWidth="1"/>
    <col min="130" max="130" width="9" bestFit="1" customWidth="1"/>
    <col min="131" max="132" width="6" bestFit="1" customWidth="1"/>
    <col min="133" max="133" width="11.6640625" bestFit="1" customWidth="1"/>
    <col min="134" max="134" width="9" bestFit="1" customWidth="1"/>
    <col min="135" max="135" width="6" bestFit="1" customWidth="1"/>
    <col min="136" max="136" width="11.6640625" bestFit="1" customWidth="1"/>
    <col min="137" max="137" width="9" bestFit="1" customWidth="1"/>
    <col min="138" max="138" width="11.6640625" bestFit="1" customWidth="1"/>
    <col min="139" max="139" width="9" bestFit="1" customWidth="1"/>
    <col min="140" max="140" width="11.6640625" bestFit="1" customWidth="1"/>
    <col min="141" max="141" width="9" bestFit="1" customWidth="1"/>
    <col min="142" max="142" width="11.6640625" bestFit="1" customWidth="1"/>
    <col min="143" max="143" width="9" bestFit="1" customWidth="1"/>
    <col min="144" max="144" width="11.6640625" bestFit="1" customWidth="1"/>
    <col min="145" max="145" width="9" bestFit="1" customWidth="1"/>
    <col min="146" max="146" width="6" bestFit="1" customWidth="1"/>
    <col min="147" max="147" width="11.6640625" bestFit="1" customWidth="1"/>
    <col min="148" max="148" width="9" bestFit="1" customWidth="1"/>
    <col min="149" max="149" width="11.6640625" bestFit="1" customWidth="1"/>
    <col min="150" max="150" width="10.77734375" bestFit="1" customWidth="1"/>
    <col min="151" max="151" width="11.6640625" bestFit="1" customWidth="1"/>
    <col min="152" max="155" width="9" bestFit="1" customWidth="1"/>
    <col min="156" max="156" width="11.6640625" bestFit="1" customWidth="1"/>
    <col min="157" max="159" width="9" bestFit="1" customWidth="1"/>
    <col min="160" max="160" width="11.6640625" bestFit="1" customWidth="1"/>
    <col min="161" max="161" width="9" bestFit="1" customWidth="1"/>
    <col min="162" max="162" width="11.6640625" bestFit="1" customWidth="1"/>
    <col min="163" max="164" width="9" bestFit="1" customWidth="1"/>
    <col min="165" max="165" width="11.6640625" bestFit="1" customWidth="1"/>
    <col min="166" max="166" width="9" bestFit="1" customWidth="1"/>
    <col min="167" max="167" width="11.6640625" bestFit="1" customWidth="1"/>
    <col min="168" max="168" width="11.88671875" bestFit="1" customWidth="1"/>
    <col min="169" max="169" width="10.77734375" bestFit="1" customWidth="1"/>
  </cols>
  <sheetData>
    <row r="2" spans="5:11" ht="15" x14ac:dyDescent="0.3">
      <c r="E2">
        <v>12</v>
      </c>
      <c r="F2" s="17" t="s">
        <v>31</v>
      </c>
    </row>
    <row r="3" spans="5:11" x14ac:dyDescent="0.3">
      <c r="G3" s="15" t="s">
        <v>60</v>
      </c>
    </row>
    <row r="4" spans="5:11" x14ac:dyDescent="0.3">
      <c r="F4" s="15" t="s">
        <v>35</v>
      </c>
      <c r="G4" t="s">
        <v>54</v>
      </c>
      <c r="H4" t="s">
        <v>14</v>
      </c>
      <c r="I4" t="s">
        <v>21</v>
      </c>
      <c r="J4" t="s">
        <v>52</v>
      </c>
      <c r="K4" t="s">
        <v>37</v>
      </c>
    </row>
    <row r="5" spans="5:11" x14ac:dyDescent="0.3">
      <c r="F5" s="9">
        <v>1200</v>
      </c>
    </row>
    <row r="6" spans="5:11" x14ac:dyDescent="0.3">
      <c r="F6" s="21">
        <v>25442</v>
      </c>
    </row>
    <row r="7" spans="5:11" x14ac:dyDescent="0.3">
      <c r="F7" s="9">
        <v>2000</v>
      </c>
    </row>
    <row r="8" spans="5:11" x14ac:dyDescent="0.3">
      <c r="F8" s="21">
        <v>25442</v>
      </c>
    </row>
    <row r="9" spans="5:11" x14ac:dyDescent="0.3">
      <c r="F9" s="9">
        <v>2800</v>
      </c>
    </row>
    <row r="10" spans="5:11" x14ac:dyDescent="0.3">
      <c r="F10" s="21">
        <v>28112</v>
      </c>
    </row>
    <row r="11" spans="5:11" x14ac:dyDescent="0.3">
      <c r="F11" s="9">
        <v>10800</v>
      </c>
    </row>
    <row r="12" spans="5:11" x14ac:dyDescent="0.3">
      <c r="F12" s="21">
        <v>24030</v>
      </c>
    </row>
    <row r="13" spans="5:11" x14ac:dyDescent="0.3">
      <c r="F13" s="9">
        <v>11200</v>
      </c>
    </row>
    <row r="14" spans="5:11" x14ac:dyDescent="0.3">
      <c r="F14" s="21">
        <v>24031</v>
      </c>
    </row>
    <row r="15" spans="5:11" x14ac:dyDescent="0.3">
      <c r="F15" s="9">
        <v>18000</v>
      </c>
    </row>
    <row r="16" spans="5:11" x14ac:dyDescent="0.3">
      <c r="F16" s="21">
        <v>24030</v>
      </c>
    </row>
    <row r="17" spans="6:6" x14ac:dyDescent="0.3">
      <c r="F17" s="9">
        <v>19200</v>
      </c>
    </row>
    <row r="18" spans="6:6" x14ac:dyDescent="0.3">
      <c r="F18" s="21">
        <v>25442</v>
      </c>
    </row>
    <row r="19" spans="6:6" x14ac:dyDescent="0.3">
      <c r="F19" s="21">
        <v>28112</v>
      </c>
    </row>
    <row r="20" spans="6:6" x14ac:dyDescent="0.3">
      <c r="F20" s="9">
        <v>21600</v>
      </c>
    </row>
    <row r="21" spans="6:6" x14ac:dyDescent="0.3">
      <c r="F21" s="21">
        <v>25442</v>
      </c>
    </row>
    <row r="22" spans="6:6" x14ac:dyDescent="0.3">
      <c r="F22" s="9">
        <v>24500</v>
      </c>
    </row>
    <row r="23" spans="6:6" x14ac:dyDescent="0.3">
      <c r="F23" s="21">
        <v>28112</v>
      </c>
    </row>
    <row r="24" spans="6:6" x14ac:dyDescent="0.3">
      <c r="F24" s="9">
        <v>58800</v>
      </c>
    </row>
    <row r="25" spans="6:6" x14ac:dyDescent="0.3">
      <c r="F25" s="21">
        <v>28112</v>
      </c>
    </row>
    <row r="26" spans="6:6" x14ac:dyDescent="0.3">
      <c r="F26" s="9">
        <v>62500</v>
      </c>
    </row>
    <row r="27" spans="6:6" x14ac:dyDescent="0.3">
      <c r="F27" s="21">
        <v>28112</v>
      </c>
    </row>
    <row r="28" spans="6:6" x14ac:dyDescent="0.3">
      <c r="F28" s="9">
        <v>72000</v>
      </c>
    </row>
    <row r="29" spans="6:6" x14ac:dyDescent="0.3">
      <c r="F29" s="21">
        <v>65666</v>
      </c>
    </row>
    <row r="30" spans="6:6" x14ac:dyDescent="0.3">
      <c r="F30" s="9">
        <v>82000</v>
      </c>
    </row>
    <row r="31" spans="6:6" x14ac:dyDescent="0.3">
      <c r="F31" s="21">
        <v>44031</v>
      </c>
    </row>
    <row r="32" spans="6:6" x14ac:dyDescent="0.3">
      <c r="F32" s="21">
        <v>45442</v>
      </c>
    </row>
    <row r="33" spans="6:6" x14ac:dyDescent="0.3">
      <c r="F33" s="21">
        <v>45446</v>
      </c>
    </row>
    <row r="34" spans="6:6" x14ac:dyDescent="0.3">
      <c r="F34" s="9">
        <v>84600</v>
      </c>
    </row>
    <row r="35" spans="6:6" x14ac:dyDescent="0.3">
      <c r="F35" s="21">
        <v>45431</v>
      </c>
    </row>
    <row r="36" spans="6:6" x14ac:dyDescent="0.3">
      <c r="F36" s="21">
        <v>48099</v>
      </c>
    </row>
    <row r="37" spans="6:6" x14ac:dyDescent="0.3">
      <c r="F37" s="9">
        <v>88200</v>
      </c>
    </row>
    <row r="38" spans="6:6" x14ac:dyDescent="0.3">
      <c r="F38" s="21">
        <v>25442</v>
      </c>
    </row>
    <row r="39" spans="6:6" x14ac:dyDescent="0.3">
      <c r="F39" s="21">
        <v>28112</v>
      </c>
    </row>
    <row r="40" spans="6:6" x14ac:dyDescent="0.3">
      <c r="F40" s="9">
        <v>100000</v>
      </c>
    </row>
    <row r="41" spans="6:6" x14ac:dyDescent="0.3">
      <c r="F41" s="21">
        <v>66031</v>
      </c>
    </row>
    <row r="42" spans="6:6" x14ac:dyDescent="0.3">
      <c r="F42" s="9">
        <v>115200</v>
      </c>
    </row>
    <row r="43" spans="6:6" x14ac:dyDescent="0.3">
      <c r="F43" s="21">
        <v>25442</v>
      </c>
    </row>
    <row r="44" spans="6:6" x14ac:dyDescent="0.3">
      <c r="F44" s="21">
        <v>28112</v>
      </c>
    </row>
    <row r="45" spans="6:6" x14ac:dyDescent="0.3">
      <c r="F45" s="9">
        <v>118200</v>
      </c>
    </row>
    <row r="46" spans="6:6" x14ac:dyDescent="0.3">
      <c r="F46" s="21">
        <v>44015</v>
      </c>
    </row>
    <row r="47" spans="6:6" x14ac:dyDescent="0.3">
      <c r="F47" s="21">
        <v>44016</v>
      </c>
    </row>
    <row r="48" spans="6:6" x14ac:dyDescent="0.3">
      <c r="F48" s="21">
        <v>44030</v>
      </c>
    </row>
    <row r="49" spans="6:6" x14ac:dyDescent="0.3">
      <c r="F49" s="21">
        <v>44031</v>
      </c>
    </row>
    <row r="50" spans="6:6" x14ac:dyDescent="0.3">
      <c r="F50" s="21">
        <v>44032</v>
      </c>
    </row>
    <row r="51" spans="6:6" x14ac:dyDescent="0.3">
      <c r="F51" s="21">
        <v>45427</v>
      </c>
    </row>
    <row r="52" spans="6:6" x14ac:dyDescent="0.3">
      <c r="F52" s="21">
        <v>45431</v>
      </c>
    </row>
    <row r="53" spans="6:6" x14ac:dyDescent="0.3">
      <c r="F53" s="21">
        <v>45442</v>
      </c>
    </row>
    <row r="54" spans="6:6" x14ac:dyDescent="0.3">
      <c r="F54" s="21">
        <v>45444</v>
      </c>
    </row>
    <row r="55" spans="6:6" x14ac:dyDescent="0.3">
      <c r="F55" s="21">
        <v>48097</v>
      </c>
    </row>
    <row r="56" spans="6:6" x14ac:dyDescent="0.3">
      <c r="F56" s="21">
        <v>48099</v>
      </c>
    </row>
    <row r="57" spans="6:6" x14ac:dyDescent="0.3">
      <c r="F57" s="21">
        <v>48101</v>
      </c>
    </row>
    <row r="58" spans="6:6" x14ac:dyDescent="0.3">
      <c r="F58" s="21">
        <v>48112</v>
      </c>
    </row>
    <row r="59" spans="6:6" x14ac:dyDescent="0.3">
      <c r="F59" s="21">
        <v>48114</v>
      </c>
    </row>
    <row r="60" spans="6:6" x14ac:dyDescent="0.3">
      <c r="F60" s="21">
        <v>48116</v>
      </c>
    </row>
    <row r="61" spans="6:6" x14ac:dyDescent="0.3">
      <c r="F61" s="9">
        <v>120000</v>
      </c>
    </row>
    <row r="62" spans="6:6" x14ac:dyDescent="0.3">
      <c r="F62" s="21">
        <v>24031</v>
      </c>
    </row>
    <row r="63" spans="6:6" x14ac:dyDescent="0.3">
      <c r="F63" s="9">
        <v>128000</v>
      </c>
    </row>
    <row r="64" spans="6:6" x14ac:dyDescent="0.3">
      <c r="F64" s="21">
        <v>68116</v>
      </c>
    </row>
    <row r="65" spans="6:6" x14ac:dyDescent="0.3">
      <c r="F65" s="9">
        <v>144000</v>
      </c>
    </row>
    <row r="66" spans="6:6" x14ac:dyDescent="0.3">
      <c r="F66" s="21">
        <v>66016</v>
      </c>
    </row>
    <row r="67" spans="6:6" x14ac:dyDescent="0.3">
      <c r="F67" s="21">
        <v>68112</v>
      </c>
    </row>
    <row r="68" spans="6:6" x14ac:dyDescent="0.3">
      <c r="F68" s="9">
        <v>144500</v>
      </c>
    </row>
    <row r="69" spans="6:6" x14ac:dyDescent="0.3">
      <c r="F69" s="21">
        <v>68099</v>
      </c>
    </row>
    <row r="70" spans="6:6" x14ac:dyDescent="0.3">
      <c r="F70" s="9">
        <v>145200</v>
      </c>
    </row>
    <row r="71" spans="6:6" x14ac:dyDescent="0.3">
      <c r="F71" s="21">
        <v>65662</v>
      </c>
    </row>
    <row r="72" spans="6:6" x14ac:dyDescent="0.3">
      <c r="F72" s="9">
        <v>150400</v>
      </c>
    </row>
    <row r="73" spans="6:6" x14ac:dyDescent="0.3">
      <c r="F73" s="21">
        <v>45446</v>
      </c>
    </row>
    <row r="74" spans="6:6" x14ac:dyDescent="0.3">
      <c r="F74" s="21">
        <v>48114</v>
      </c>
    </row>
    <row r="75" spans="6:6" x14ac:dyDescent="0.3">
      <c r="F75" s="9">
        <v>161000</v>
      </c>
    </row>
    <row r="76" spans="6:6" x14ac:dyDescent="0.3">
      <c r="F76" s="21">
        <v>44015</v>
      </c>
    </row>
    <row r="77" spans="6:6" x14ac:dyDescent="0.3">
      <c r="F77" s="21">
        <v>44016</v>
      </c>
    </row>
    <row r="78" spans="6:6" x14ac:dyDescent="0.3">
      <c r="F78" s="21">
        <v>44017</v>
      </c>
    </row>
    <row r="79" spans="6:6" x14ac:dyDescent="0.3">
      <c r="F79" s="21">
        <v>44032</v>
      </c>
    </row>
    <row r="80" spans="6:6" x14ac:dyDescent="0.3">
      <c r="F80" s="21">
        <v>45427</v>
      </c>
    </row>
    <row r="81" spans="6:6" x14ac:dyDescent="0.3">
      <c r="F81" s="21">
        <v>45444</v>
      </c>
    </row>
    <row r="82" spans="6:6" x14ac:dyDescent="0.3">
      <c r="F82" s="9">
        <v>169000</v>
      </c>
    </row>
    <row r="83" spans="6:6" x14ac:dyDescent="0.3">
      <c r="F83" s="21">
        <v>68097</v>
      </c>
    </row>
    <row r="84" spans="6:6" x14ac:dyDescent="0.3">
      <c r="F84" s="9">
        <v>172800</v>
      </c>
    </row>
    <row r="85" spans="6:6" x14ac:dyDescent="0.3">
      <c r="F85" s="21">
        <v>65631</v>
      </c>
    </row>
    <row r="86" spans="6:6" x14ac:dyDescent="0.3">
      <c r="F86" s="21">
        <v>65662</v>
      </c>
    </row>
    <row r="87" spans="6:6" x14ac:dyDescent="0.3">
      <c r="F87" s="21">
        <v>65666</v>
      </c>
    </row>
    <row r="88" spans="6:6" x14ac:dyDescent="0.3">
      <c r="F88" s="21">
        <v>66016</v>
      </c>
    </row>
    <row r="89" spans="6:6" x14ac:dyDescent="0.3">
      <c r="F89" s="21">
        <v>66030</v>
      </c>
    </row>
    <row r="90" spans="6:6" x14ac:dyDescent="0.3">
      <c r="F90" s="21">
        <v>68099</v>
      </c>
    </row>
    <row r="91" spans="6:6" x14ac:dyDescent="0.3">
      <c r="F91" s="9">
        <v>176000</v>
      </c>
    </row>
    <row r="92" spans="6:6" x14ac:dyDescent="0.3">
      <c r="F92" s="21">
        <v>44016</v>
      </c>
    </row>
    <row r="93" spans="6:6" x14ac:dyDescent="0.3">
      <c r="F93" s="21">
        <v>45429</v>
      </c>
    </row>
    <row r="94" spans="6:6" x14ac:dyDescent="0.3">
      <c r="F94" s="21">
        <v>48101</v>
      </c>
    </row>
    <row r="95" spans="6:6" x14ac:dyDescent="0.3">
      <c r="F95" s="21">
        <v>48112</v>
      </c>
    </row>
    <row r="96" spans="6:6" x14ac:dyDescent="0.3">
      <c r="F96" s="9">
        <v>179200</v>
      </c>
    </row>
    <row r="97" spans="6:6" x14ac:dyDescent="0.3">
      <c r="F97" s="21">
        <v>24030</v>
      </c>
    </row>
    <row r="98" spans="6:6" x14ac:dyDescent="0.3">
      <c r="F98" s="9">
        <v>180500</v>
      </c>
    </row>
    <row r="99" spans="6:6" x14ac:dyDescent="0.3">
      <c r="F99" s="21">
        <v>65631</v>
      </c>
    </row>
    <row r="100" spans="6:6" x14ac:dyDescent="0.3">
      <c r="F100" s="9">
        <v>196000</v>
      </c>
    </row>
    <row r="101" spans="6:6" x14ac:dyDescent="0.3">
      <c r="F101" s="21">
        <v>65629</v>
      </c>
    </row>
    <row r="102" spans="6:6" x14ac:dyDescent="0.3">
      <c r="F102" s="21">
        <v>68099</v>
      </c>
    </row>
    <row r="103" spans="6:6" x14ac:dyDescent="0.3">
      <c r="F103" s="21">
        <v>68101</v>
      </c>
    </row>
    <row r="104" spans="6:6" x14ac:dyDescent="0.3">
      <c r="F104" s="9">
        <v>202800</v>
      </c>
    </row>
    <row r="105" spans="6:6" x14ac:dyDescent="0.3">
      <c r="F105" s="21">
        <v>24030</v>
      </c>
    </row>
    <row r="106" spans="6:6" x14ac:dyDescent="0.3">
      <c r="F106" s="21">
        <v>65629</v>
      </c>
    </row>
    <row r="107" spans="6:6" x14ac:dyDescent="0.3">
      <c r="F107" s="21">
        <v>66016</v>
      </c>
    </row>
    <row r="108" spans="6:6" x14ac:dyDescent="0.3">
      <c r="F108" s="9">
        <v>210400</v>
      </c>
    </row>
    <row r="109" spans="6:6" x14ac:dyDescent="0.3">
      <c r="F109" s="21">
        <v>45429</v>
      </c>
    </row>
    <row r="110" spans="6:6" x14ac:dyDescent="0.3">
      <c r="F110" s="9">
        <v>235200</v>
      </c>
    </row>
    <row r="111" spans="6:6" x14ac:dyDescent="0.3">
      <c r="F111" s="21">
        <v>65627</v>
      </c>
    </row>
    <row r="112" spans="6:6" x14ac:dyDescent="0.3">
      <c r="F112" s="21">
        <v>65666</v>
      </c>
    </row>
    <row r="113" spans="6:6" x14ac:dyDescent="0.3">
      <c r="F113" s="21">
        <v>66015</v>
      </c>
    </row>
    <row r="114" spans="6:6" x14ac:dyDescent="0.3">
      <c r="F114" s="21">
        <v>66017</v>
      </c>
    </row>
    <row r="115" spans="6:6" x14ac:dyDescent="0.3">
      <c r="F115" s="21">
        <v>66031</v>
      </c>
    </row>
    <row r="116" spans="6:6" x14ac:dyDescent="0.3">
      <c r="F116" s="21">
        <v>66032</v>
      </c>
    </row>
    <row r="117" spans="6:6" x14ac:dyDescent="0.3">
      <c r="F117" s="21">
        <v>68097</v>
      </c>
    </row>
    <row r="118" spans="6:6" x14ac:dyDescent="0.3">
      <c r="F118" s="9">
        <v>250000</v>
      </c>
    </row>
    <row r="119" spans="6:6" x14ac:dyDescent="0.3">
      <c r="F119" s="21">
        <v>24031</v>
      </c>
    </row>
    <row r="120" spans="6:6" x14ac:dyDescent="0.3">
      <c r="F120" s="9">
        <v>253800</v>
      </c>
    </row>
    <row r="121" spans="6:6" x14ac:dyDescent="0.3">
      <c r="F121" s="21">
        <v>44031</v>
      </c>
    </row>
    <row r="122" spans="6:6" x14ac:dyDescent="0.3">
      <c r="F122" s="21">
        <v>45444</v>
      </c>
    </row>
    <row r="123" spans="6:6" x14ac:dyDescent="0.3">
      <c r="F123" s="21">
        <v>48099</v>
      </c>
    </row>
    <row r="124" spans="6:6" x14ac:dyDescent="0.3">
      <c r="F124" s="21">
        <v>48114</v>
      </c>
    </row>
    <row r="125" spans="6:6" x14ac:dyDescent="0.3">
      <c r="F125" s="21">
        <v>48116</v>
      </c>
    </row>
    <row r="126" spans="6:6" x14ac:dyDescent="0.3">
      <c r="F126" s="9">
        <v>256000</v>
      </c>
    </row>
    <row r="127" spans="6:6" x14ac:dyDescent="0.3">
      <c r="F127" s="21">
        <v>65666</v>
      </c>
    </row>
    <row r="128" spans="6:6" x14ac:dyDescent="0.3">
      <c r="F128" s="9">
        <v>270000</v>
      </c>
    </row>
    <row r="129" spans="6:6" x14ac:dyDescent="0.3">
      <c r="F129" s="21">
        <v>66030</v>
      </c>
    </row>
    <row r="130" spans="6:6" x14ac:dyDescent="0.3">
      <c r="F130" s="21">
        <v>66031</v>
      </c>
    </row>
    <row r="131" spans="6:6" x14ac:dyDescent="0.3">
      <c r="F131" s="21">
        <v>68116</v>
      </c>
    </row>
    <row r="132" spans="6:6" x14ac:dyDescent="0.3">
      <c r="F132" s="9">
        <v>307200</v>
      </c>
    </row>
    <row r="133" spans="6:6" x14ac:dyDescent="0.3">
      <c r="F133" s="21">
        <v>65627</v>
      </c>
    </row>
    <row r="134" spans="6:6" x14ac:dyDescent="0.3">
      <c r="F134" s="21">
        <v>68116</v>
      </c>
    </row>
    <row r="135" spans="6:6" x14ac:dyDescent="0.3">
      <c r="F135" s="9">
        <v>345100</v>
      </c>
    </row>
    <row r="136" spans="6:6" x14ac:dyDescent="0.3">
      <c r="F136" s="21">
        <v>48097</v>
      </c>
    </row>
    <row r="137" spans="6:6" x14ac:dyDescent="0.3">
      <c r="F137" s="9">
        <v>346800</v>
      </c>
    </row>
    <row r="138" spans="6:6" x14ac:dyDescent="0.3">
      <c r="F138" s="21">
        <v>66032</v>
      </c>
    </row>
    <row r="139" spans="6:6" x14ac:dyDescent="0.3">
      <c r="F139" s="9">
        <v>361000</v>
      </c>
    </row>
    <row r="140" spans="6:6" x14ac:dyDescent="0.3">
      <c r="F140" s="21">
        <v>68116</v>
      </c>
    </row>
    <row r="141" spans="6:6" x14ac:dyDescent="0.3">
      <c r="F141" s="9">
        <v>388800</v>
      </c>
    </row>
    <row r="142" spans="6:6" x14ac:dyDescent="0.3">
      <c r="F142" s="21">
        <v>68112</v>
      </c>
    </row>
    <row r="143" spans="6:6" x14ac:dyDescent="0.3">
      <c r="F143" s="9">
        <v>433200</v>
      </c>
    </row>
    <row r="144" spans="6:6" x14ac:dyDescent="0.3">
      <c r="F144" s="21">
        <v>65629</v>
      </c>
    </row>
    <row r="145" spans="6:6" x14ac:dyDescent="0.3">
      <c r="F145" s="21">
        <v>68101</v>
      </c>
    </row>
    <row r="146" spans="6:6" x14ac:dyDescent="0.3">
      <c r="F146" s="9">
        <v>480000</v>
      </c>
    </row>
    <row r="147" spans="6:6" x14ac:dyDescent="0.3">
      <c r="F147" s="21">
        <v>65666</v>
      </c>
    </row>
    <row r="148" spans="6:6" x14ac:dyDescent="0.3">
      <c r="F148" s="9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B529-F96A-4FBF-ACAC-864DD77F190E}">
  <dimension ref="E3:G6"/>
  <sheetViews>
    <sheetView workbookViewId="0">
      <selection activeCell="G13" sqref="G13"/>
    </sheetView>
  </sheetViews>
  <sheetFormatPr defaultRowHeight="14.4" x14ac:dyDescent="0.3"/>
  <cols>
    <col min="6" max="6" width="12.5546875" bestFit="1" customWidth="1"/>
    <col min="7" max="7" width="14.88671875" bestFit="1" customWidth="1"/>
  </cols>
  <sheetData>
    <row r="3" spans="5:7" ht="15" x14ac:dyDescent="0.3">
      <c r="E3">
        <v>13</v>
      </c>
      <c r="F3" s="17" t="s">
        <v>32</v>
      </c>
    </row>
    <row r="4" spans="5:7" x14ac:dyDescent="0.3">
      <c r="F4" s="15" t="s">
        <v>35</v>
      </c>
      <c r="G4" t="s">
        <v>61</v>
      </c>
    </row>
    <row r="5" spans="5:7" x14ac:dyDescent="0.3">
      <c r="F5" s="9" t="s">
        <v>21</v>
      </c>
      <c r="G5" s="18">
        <v>3760</v>
      </c>
    </row>
    <row r="6" spans="5:7" x14ac:dyDescent="0.3">
      <c r="F6" s="9" t="s">
        <v>37</v>
      </c>
      <c r="G6" s="18">
        <v>3760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76B-7C44-4E05-BABD-72B1A1F98A73}">
  <dimension ref="D2:G28"/>
  <sheetViews>
    <sheetView workbookViewId="0">
      <selection activeCell="I6" sqref="I6"/>
    </sheetView>
  </sheetViews>
  <sheetFormatPr defaultRowHeight="14.4" x14ac:dyDescent="0.3"/>
  <cols>
    <col min="5" max="5" width="15.5546875" bestFit="1" customWidth="1"/>
    <col min="6" max="6" width="19" bestFit="1" customWidth="1"/>
    <col min="7" max="7" width="21.109375" bestFit="1" customWidth="1"/>
  </cols>
  <sheetData>
    <row r="2" spans="4:7" ht="15" x14ac:dyDescent="0.3">
      <c r="D2">
        <v>14</v>
      </c>
      <c r="E2" s="17" t="s">
        <v>33</v>
      </c>
    </row>
    <row r="3" spans="4:7" x14ac:dyDescent="0.3">
      <c r="E3" s="15" t="s">
        <v>35</v>
      </c>
      <c r="F3" t="s">
        <v>65</v>
      </c>
      <c r="G3" t="s">
        <v>62</v>
      </c>
    </row>
    <row r="4" spans="4:7" x14ac:dyDescent="0.3">
      <c r="E4" s="9" t="s">
        <v>12</v>
      </c>
      <c r="F4" s="18">
        <v>1573.8095238095239</v>
      </c>
      <c r="G4" s="18">
        <v>2796883</v>
      </c>
    </row>
    <row r="5" spans="4:7" x14ac:dyDescent="0.3">
      <c r="E5" s="22">
        <v>43983</v>
      </c>
      <c r="F5" s="18">
        <v>1720</v>
      </c>
      <c r="G5" s="18">
        <v>198093</v>
      </c>
    </row>
    <row r="6" spans="4:7" x14ac:dyDescent="0.3">
      <c r="E6" s="22">
        <v>43984</v>
      </c>
      <c r="F6" s="18">
        <v>1680</v>
      </c>
      <c r="G6" s="18">
        <v>263759</v>
      </c>
    </row>
    <row r="7" spans="4:7" x14ac:dyDescent="0.3">
      <c r="E7" s="22">
        <v>43985</v>
      </c>
      <c r="F7" s="18">
        <v>1680</v>
      </c>
      <c r="G7" s="18">
        <v>65666</v>
      </c>
    </row>
    <row r="8" spans="4:7" x14ac:dyDescent="0.3">
      <c r="E8" s="22">
        <v>43986</v>
      </c>
      <c r="F8" s="18">
        <v>1600</v>
      </c>
      <c r="G8" s="18">
        <v>65666</v>
      </c>
    </row>
    <row r="9" spans="4:7" x14ac:dyDescent="0.3">
      <c r="E9" s="22">
        <v>43987</v>
      </c>
      <c r="F9" s="18">
        <v>600</v>
      </c>
      <c r="G9" s="18">
        <v>65666</v>
      </c>
    </row>
    <row r="10" spans="4:7" x14ac:dyDescent="0.3">
      <c r="E10" s="22">
        <v>43988</v>
      </c>
      <c r="F10" s="18">
        <v>2400</v>
      </c>
      <c r="G10" s="18">
        <v>65666</v>
      </c>
    </row>
    <row r="11" spans="4:7" x14ac:dyDescent="0.3">
      <c r="E11" s="22">
        <v>43989</v>
      </c>
      <c r="F11" s="18">
        <v>1000</v>
      </c>
      <c r="G11" s="18">
        <v>66031</v>
      </c>
    </row>
    <row r="12" spans="4:7" x14ac:dyDescent="0.3">
      <c r="E12" s="22">
        <v>43990</v>
      </c>
      <c r="F12" s="18">
        <v>2160</v>
      </c>
      <c r="G12" s="18">
        <v>68112</v>
      </c>
    </row>
    <row r="13" spans="4:7" x14ac:dyDescent="0.3">
      <c r="E13" s="22">
        <v>43991</v>
      </c>
      <c r="F13" s="18">
        <v>1200</v>
      </c>
      <c r="G13" s="18">
        <v>68112</v>
      </c>
    </row>
    <row r="14" spans="4:7" x14ac:dyDescent="0.3">
      <c r="E14" s="22">
        <v>43992</v>
      </c>
      <c r="F14" s="18">
        <v>1740</v>
      </c>
      <c r="G14" s="18">
        <v>134131</v>
      </c>
    </row>
    <row r="15" spans="4:7" x14ac:dyDescent="0.3">
      <c r="E15" s="22">
        <v>43993</v>
      </c>
      <c r="F15" s="18">
        <v>1790</v>
      </c>
      <c r="G15" s="18">
        <v>134131</v>
      </c>
    </row>
    <row r="16" spans="4:7" x14ac:dyDescent="0.3">
      <c r="E16" s="22">
        <v>43994</v>
      </c>
      <c r="F16" s="18">
        <v>1240</v>
      </c>
      <c r="G16" s="18">
        <v>134133</v>
      </c>
    </row>
    <row r="17" spans="5:7" x14ac:dyDescent="0.3">
      <c r="E17" s="22">
        <v>43995</v>
      </c>
      <c r="F17" s="18">
        <v>1800</v>
      </c>
      <c r="G17" s="18">
        <v>134133</v>
      </c>
    </row>
    <row r="18" spans="5:7" x14ac:dyDescent="0.3">
      <c r="E18" s="22">
        <v>43996</v>
      </c>
      <c r="F18" s="18">
        <v>1670</v>
      </c>
      <c r="G18" s="18">
        <v>134132</v>
      </c>
    </row>
    <row r="19" spans="5:7" x14ac:dyDescent="0.3">
      <c r="E19" s="22">
        <v>43997</v>
      </c>
      <c r="F19" s="18">
        <v>1760</v>
      </c>
      <c r="G19" s="18">
        <v>199779</v>
      </c>
    </row>
    <row r="20" spans="5:7" x14ac:dyDescent="0.3">
      <c r="E20" s="22">
        <v>43998</v>
      </c>
      <c r="F20" s="18">
        <v>1306.6666666666667</v>
      </c>
      <c r="G20" s="18">
        <v>199779</v>
      </c>
    </row>
    <row r="21" spans="5:7" x14ac:dyDescent="0.3">
      <c r="E21" s="22">
        <v>43999</v>
      </c>
      <c r="F21" s="18">
        <v>1680</v>
      </c>
      <c r="G21" s="18">
        <v>133724</v>
      </c>
    </row>
    <row r="22" spans="5:7" x14ac:dyDescent="0.3">
      <c r="E22" s="22">
        <v>44000</v>
      </c>
      <c r="F22" s="18">
        <v>1610</v>
      </c>
      <c r="G22" s="18">
        <v>133724</v>
      </c>
    </row>
    <row r="23" spans="5:7" x14ac:dyDescent="0.3">
      <c r="E23" s="22">
        <v>44001</v>
      </c>
      <c r="F23" s="18">
        <v>1860</v>
      </c>
      <c r="G23" s="18">
        <v>133728</v>
      </c>
    </row>
    <row r="24" spans="5:7" x14ac:dyDescent="0.3">
      <c r="E24" s="22">
        <v>44002</v>
      </c>
      <c r="F24" s="18">
        <v>1480</v>
      </c>
      <c r="G24" s="18">
        <v>133728</v>
      </c>
    </row>
    <row r="25" spans="5:7" x14ac:dyDescent="0.3">
      <c r="E25" s="22">
        <v>44003</v>
      </c>
      <c r="F25" s="18">
        <v>1125</v>
      </c>
      <c r="G25" s="18">
        <v>133728</v>
      </c>
    </row>
    <row r="26" spans="5:7" x14ac:dyDescent="0.3">
      <c r="E26" s="22">
        <v>44004</v>
      </c>
      <c r="F26" s="18">
        <v>950</v>
      </c>
      <c r="G26" s="18">
        <v>65631</v>
      </c>
    </row>
    <row r="27" spans="5:7" x14ac:dyDescent="0.3">
      <c r="E27" s="22">
        <v>44005</v>
      </c>
      <c r="F27" s="18">
        <v>1440</v>
      </c>
      <c r="G27" s="18">
        <v>65631</v>
      </c>
    </row>
    <row r="28" spans="5:7" x14ac:dyDescent="0.3">
      <c r="E28" s="9" t="s">
        <v>37</v>
      </c>
      <c r="F28" s="18">
        <v>1573.8095238095239</v>
      </c>
      <c r="G28" s="18">
        <v>2796883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1E56-1E54-436E-8A00-F425B58404AF}">
  <dimension ref="D2:F18"/>
  <sheetViews>
    <sheetView tabSelected="1" workbookViewId="0">
      <selection activeCell="K7" sqref="K7"/>
    </sheetView>
  </sheetViews>
  <sheetFormatPr defaultRowHeight="14.4" x14ac:dyDescent="0.3"/>
  <cols>
    <col min="5" max="5" width="27.88671875" bestFit="1" customWidth="1"/>
    <col min="6" max="6" width="14.88671875" bestFit="1" customWidth="1"/>
  </cols>
  <sheetData>
    <row r="2" spans="4:6" ht="15" x14ac:dyDescent="0.3">
      <c r="D2">
        <v>15</v>
      </c>
      <c r="E2" s="17" t="s">
        <v>34</v>
      </c>
    </row>
    <row r="3" spans="4:6" x14ac:dyDescent="0.3">
      <c r="E3" s="15" t="s">
        <v>35</v>
      </c>
      <c r="F3" t="s">
        <v>61</v>
      </c>
    </row>
    <row r="4" spans="4:6" x14ac:dyDescent="0.3">
      <c r="E4" s="9" t="s">
        <v>13</v>
      </c>
      <c r="F4" s="18">
        <v>7380</v>
      </c>
    </row>
    <row r="5" spans="4:6" x14ac:dyDescent="0.3">
      <c r="E5" s="21" t="s">
        <v>43</v>
      </c>
      <c r="F5" s="18">
        <v>110</v>
      </c>
    </row>
    <row r="6" spans="4:6" x14ac:dyDescent="0.3">
      <c r="E6" s="21" t="s">
        <v>42</v>
      </c>
      <c r="F6" s="18">
        <v>150</v>
      </c>
    </row>
    <row r="7" spans="4:6" x14ac:dyDescent="0.3">
      <c r="E7" s="21" t="s">
        <v>44</v>
      </c>
      <c r="F7" s="18">
        <v>100</v>
      </c>
    </row>
    <row r="8" spans="4:6" x14ac:dyDescent="0.3">
      <c r="E8" s="21" t="s">
        <v>45</v>
      </c>
      <c r="F8" s="18">
        <v>50</v>
      </c>
    </row>
    <row r="9" spans="4:6" x14ac:dyDescent="0.3">
      <c r="E9" s="21" t="s">
        <v>47</v>
      </c>
      <c r="F9" s="18">
        <v>210</v>
      </c>
    </row>
    <row r="10" spans="4:6" x14ac:dyDescent="0.3">
      <c r="E10" s="21" t="s">
        <v>46</v>
      </c>
      <c r="F10" s="18">
        <v>160</v>
      </c>
    </row>
    <row r="11" spans="4:6" x14ac:dyDescent="0.3">
      <c r="E11" s="21" t="s">
        <v>41</v>
      </c>
      <c r="F11" s="18">
        <v>110</v>
      </c>
    </row>
    <row r="12" spans="4:6" x14ac:dyDescent="0.3">
      <c r="E12" s="21" t="s">
        <v>40</v>
      </c>
      <c r="F12" s="18">
        <v>310</v>
      </c>
    </row>
    <row r="13" spans="4:6" x14ac:dyDescent="0.3">
      <c r="E13" s="21" t="s">
        <v>48</v>
      </c>
      <c r="F13" s="18">
        <v>60</v>
      </c>
    </row>
    <row r="14" spans="4:6" x14ac:dyDescent="0.3">
      <c r="E14" s="21" t="s">
        <v>30</v>
      </c>
      <c r="F14" s="18">
        <v>640</v>
      </c>
    </row>
    <row r="15" spans="4:6" x14ac:dyDescent="0.3">
      <c r="E15" s="21" t="s">
        <v>24</v>
      </c>
      <c r="F15" s="18">
        <v>1430</v>
      </c>
    </row>
    <row r="16" spans="4:6" x14ac:dyDescent="0.3">
      <c r="E16" s="21" t="s">
        <v>17</v>
      </c>
      <c r="F16" s="18">
        <v>2330</v>
      </c>
    </row>
    <row r="17" spans="5:6" x14ac:dyDescent="0.3">
      <c r="E17" s="21" t="s">
        <v>15</v>
      </c>
      <c r="F17" s="18">
        <v>1720</v>
      </c>
    </row>
    <row r="18" spans="5:6" x14ac:dyDescent="0.3">
      <c r="E18" s="9" t="s">
        <v>37</v>
      </c>
      <c r="F18" s="18">
        <v>7380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</vt:lpstr>
      <vt:lpstr>Case Study 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Nikhil kumar verma</cp:lastModifiedBy>
  <dcterms:created xsi:type="dcterms:W3CDTF">2024-01-16T06:49:27Z</dcterms:created>
  <dcterms:modified xsi:type="dcterms:W3CDTF">2026-01-13T12:26:12Z</dcterms:modified>
</cp:coreProperties>
</file>